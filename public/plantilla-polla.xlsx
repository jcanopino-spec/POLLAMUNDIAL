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 sheetId="1" state="visible" r:id="rId1"/>
    <sheet xmlns:r="http://schemas.openxmlformats.org/officeDocument/2006/relationships" name="PRONÓSTICOS" sheetId="2" state="visible" r:id="rId2"/>
    <sheet xmlns:r="http://schemas.openxmlformats.org/officeDocument/2006/relationships" name="APUESTAS GRANDES" sheetId="3" state="visible" r:id="rId3"/>
    <sheet xmlns:r="http://schemas.openxmlformats.org/officeDocument/2006/relationships" name="_equipos" sheetId="4" state="hidden"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lack"/>
      <color rgb="001B1714"/>
      <sz val="16"/>
    </font>
    <font>
      <sz val="10"/>
    </font>
    <font>
      <b val="1"/>
      <sz val="12"/>
    </font>
    <font>
      <b val="1"/>
      <color rgb="00E1382F"/>
      <sz val="11"/>
    </font>
    <font>
      <b val="1"/>
      <color rgb="003447D6"/>
      <sz val="11"/>
    </font>
    <font>
      <i val="1"/>
      <sz val="9"/>
    </font>
    <font>
      <b val="1"/>
      <sz val="11"/>
    </font>
    <font>
      <b val="1"/>
      <color rgb="001B9150"/>
      <sz val="14"/>
    </font>
    <font>
      <b val="1"/>
      <color rgb="00FFFFFF"/>
      <sz val="10"/>
    </font>
    <font>
      <b val="1"/>
      <sz val="10"/>
    </font>
  </fonts>
  <fills count="7">
    <fill>
      <patternFill/>
    </fill>
    <fill>
      <patternFill patternType="gray125"/>
    </fill>
    <fill>
      <patternFill patternType="solid">
        <fgColor rgb="00FFC22E"/>
      </patternFill>
    </fill>
    <fill>
      <patternFill patternType="solid">
        <fgColor rgb="00FBF4E6"/>
      </patternFill>
    </fill>
    <fill>
      <patternFill patternType="solid">
        <fgColor rgb="001B1714"/>
      </patternFill>
    </fill>
    <fill>
      <patternFill patternType="solid">
        <fgColor rgb="00DDF0E4"/>
      </patternFill>
    </fill>
    <fill>
      <patternFill patternType="solid">
        <fgColor rgb="00FFF3C4"/>
      </patternFill>
    </fill>
  </fills>
  <borders count="2">
    <border>
      <left/>
      <right/>
      <top/>
      <bottom/>
      <diagonal/>
    </border>
    <border>
      <left style="thin">
        <color rgb="001B1714"/>
      </left>
      <right style="thin">
        <color rgb="001B1714"/>
      </right>
      <top style="thin">
        <color rgb="001B1714"/>
      </top>
      <bottom style="thin">
        <color rgb="001B171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3"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pivotButton="0" quotePrefix="0" xfId="0"/>
    <xf numFmtId="0" fontId="3" fillId="0" borderId="0" pivotButton="0" quotePrefix="0" xfId="0"/>
    <xf numFmtId="0" fontId="8" fillId="2" borderId="1" pivotButton="0" quotePrefix="0" xfId="0"/>
    <xf numFmtId="0" fontId="9" fillId="4"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xf>
    <xf numFmtId="0" fontId="2" fillId="5" borderId="1" applyAlignment="1" pivotButton="0" quotePrefix="0" xfId="0">
      <alignment horizontal="center" vertical="center"/>
    </xf>
    <xf numFmtId="0" fontId="10" fillId="0" borderId="1" applyAlignment="1" pivotButton="0" quotePrefix="0" xfId="0">
      <alignment horizont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10" fillId="0" borderId="0" pivotButton="0" quotePrefix="0" xfId="0"/>
    <xf numFmtId="0" fontId="0" fillId="2" borderId="1" pivotButton="0" quotePrefix="0" xfId="0"/>
    <xf numFmtId="0" fontId="6" fillId="0" borderId="0"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22E"/>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 LA POLLA MUNDIALISTA DE ALAMEDA — VERSIÓN EXCEL ⚽🐔</t>
        </is>
      </c>
    </row>
    <row r="2">
      <c r="A2" s="2" t="inlineStr"/>
    </row>
    <row r="3">
      <c r="A3" s="3" t="inlineStr">
        <is>
          <t>¿Te da miedo la app? ¿Eres de los que todavía imprime los correos? Tranquilo parcero, esta plantilla es para ti 😂</t>
        </is>
      </c>
    </row>
    <row r="4">
      <c r="A4" s="2" t="inlineStr"/>
    </row>
    <row r="5">
      <c r="A5" s="4" t="inlineStr">
        <is>
          <t>CÓMO SE LLENA (hasta Doña Julia puede):</t>
        </is>
      </c>
    </row>
    <row r="6">
      <c r="A6" s="3" t="inlineStr">
        <is>
          <t>1. Ve a la hoja 'PRONÓSTICOS' y escribe tus goles en las columnas amarillas (MI LOCAL y MI VISITA).</t>
        </is>
      </c>
    </row>
    <row r="7">
      <c r="A7" s="3" t="inlineStr">
        <is>
          <t>2. En la hoja 'APUESTAS GRANDES' elige tus 2 finalistas y tu campeón (hay lista desplegable, no inventes equipos).</t>
        </is>
      </c>
    </row>
    <row r="8">
      <c r="A8" s="3" t="inlineStr">
        <is>
          <t>3. Cuando haya resultados reales, se escriben en las columnas verdes y EL EXCEL CALCULA TUS PUNTOS SOLO. Magia pura 🧙</t>
        </is>
      </c>
    </row>
    <row r="9">
      <c r="A9" s="3" t="inlineStr">
        <is>
          <t>4. Envíale el archivo lleno al admin ANTES del jueves 11 de junio 2:00 PM… él lo pasa a la app (y te cobra el favor 😏).</t>
        </is>
      </c>
    </row>
    <row r="10">
      <c r="A10" s="2" t="inlineStr"/>
    </row>
    <row r="11">
      <c r="A11" s="4" t="inlineStr">
        <is>
          <t>EL PUNTAJE (apréndetelo):</t>
        </is>
      </c>
    </row>
    <row r="12">
      <c r="A12" s="3" t="inlineStr">
        <is>
          <t>🎯 Marcador exacto = 5 pts · ✔️ Acertar ganador o empate = 3 pts</t>
        </is>
      </c>
    </row>
    <row r="13">
      <c r="A13" s="3" t="inlineStr">
        <is>
          <t>📈 Y entre más avanza el Mundial, más vale: 16avos ×2 · Octavos ×3 · Cuartos ×4 · Semis ×5 · LA FINAL ×6 (exacto = 30 puntazos)</t>
        </is>
      </c>
    </row>
    <row r="14">
      <c r="A14" s="3" t="inlineStr">
        <is>
          <t>⭐ Finalista acertado = 15 pts c/u · 👑 Campeón = 30 pts</t>
        </is>
      </c>
    </row>
    <row r="15">
      <c r="A15" s="3" t="inlineStr">
        <is>
          <t>⛔ En la app los pronósticos se cierran cuando pita el árbitro. En Excel confiamos en tu honor… y en el admin 🕵️</t>
        </is>
      </c>
    </row>
    <row r="16">
      <c r="A16" s="3" t="inlineStr">
        <is>
          <t>🥅 En eliminatorias cuenta el marcador final con prórroga (los penales solo dicen quién pasa).</t>
        </is>
      </c>
    </row>
    <row r="17">
      <c r="A17" s="2" t="inlineStr"/>
    </row>
    <row r="18">
      <c r="A18" s="5" t="inlineStr">
        <is>
          <t>🐷 EL CASTIGO: el último de la polla pone el guaro y el cerdo de la porcícola. Quedas avisado.</t>
        </is>
      </c>
    </row>
    <row r="19">
      <c r="A19" s="3" t="inlineStr">
        <is>
          <t>💰 Esto es pa' gozarnos el Mundial, reírnos y recoger billetico pa' los fondos de la natillera.</t>
        </is>
      </c>
    </row>
    <row r="20">
      <c r="A20" s="2" t="inlineStr"/>
    </row>
    <row r="21">
      <c r="A21" s="6" t="inlineStr">
        <is>
          <t>La app oficial (más fácil que este Excel, de verdad): pollamundialnatillera.vercel.app</t>
        </is>
      </c>
    </row>
    <row r="22">
      <c r="A22" s="7" t="inlineStr">
        <is>
          <t>Diseñada por Jcanopino · CEO INPLUX SAS — prohibido copiarla: la gallina tiene abogados 🐔⚖️</t>
        </is>
      </c>
    </row>
  </sheetData>
  <pageMargins left="0.75" right="0.75" top="1" bottom="1" header="0.5" footer="0.5"/>
</worksheet>
</file>

<file path=xl/worksheets/sheet2.xml><?xml version="1.0" encoding="utf-8"?>
<worksheet xmlns="http://schemas.openxmlformats.org/spreadsheetml/2006/main">
  <sheetPr>
    <tabColor rgb="001B9150"/>
    <outlinePr summaryBelow="1" summaryRight="1"/>
    <pageSetUpPr/>
  </sheetPr>
  <dimension ref="A1:L107"/>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22" customWidth="1" min="3" max="3"/>
    <col width="24" customWidth="1" min="4" max="4"/>
    <col width="22" customWidth="1" min="5" max="5"/>
    <col width="11" customWidth="1" min="6" max="6"/>
    <col width="11" customWidth="1" min="7" max="7"/>
    <col width="22" customWidth="1" min="8" max="8"/>
    <col width="7" customWidth="1" min="9" max="9"/>
    <col width="11" customWidth="1" min="10" max="10"/>
    <col width="11" customWidth="1" min="11" max="11"/>
    <col width="13" customWidth="1" min="12" max="12"/>
  </cols>
  <sheetData>
    <row r="1">
      <c r="A1" s="8" t="inlineStr">
        <is>
          <t>🐔 TUS PRONÓSTICOS — llena SOLO las columnas amarillas. Los puntos se calculan solos cuando haya resultados reales.</t>
        </is>
      </c>
    </row>
    <row r="2">
      <c r="K2" s="9" t="inlineStr">
        <is>
          <t>TOTAL →</t>
        </is>
      </c>
      <c r="L2" s="10">
        <f>SUM(L4:L107)</f>
        <v/>
      </c>
    </row>
    <row r="3">
      <c r="A3" s="11" t="inlineStr">
        <is>
          <t>P#</t>
        </is>
      </c>
      <c r="B3" s="11" t="inlineStr">
        <is>
          <t>FASE</t>
        </is>
      </c>
      <c r="C3" s="11" t="inlineStr">
        <is>
          <t>FECHA (HORA COLOMBIA)</t>
        </is>
      </c>
      <c r="D3" s="11" t="inlineStr">
        <is>
          <t>ESTADIO</t>
        </is>
      </c>
      <c r="E3" s="11" t="inlineStr">
        <is>
          <t>LOCAL</t>
        </is>
      </c>
      <c r="F3" s="11" t="inlineStr">
        <is>
          <t>MI LOCAL ✍️</t>
        </is>
      </c>
      <c r="G3" s="11" t="inlineStr">
        <is>
          <t>MI VISITA ✍️</t>
        </is>
      </c>
      <c r="H3" s="11" t="inlineStr">
        <is>
          <t>VISITANTE</t>
        </is>
      </c>
      <c r="I3" s="11" t="inlineStr">
        <is>
          <t>VALE ×</t>
        </is>
      </c>
      <c r="J3" s="11" t="inlineStr">
        <is>
          <t>REAL LOCAL</t>
        </is>
      </c>
      <c r="K3" s="11" t="inlineStr">
        <is>
          <t>REAL VISITA</t>
        </is>
      </c>
      <c r="L3" s="11" t="inlineStr">
        <is>
          <t>MIS PUNTOS 🤑</t>
        </is>
      </c>
    </row>
    <row r="4">
      <c r="A4" s="12" t="n">
        <v>1</v>
      </c>
      <c r="B4" s="12" t="inlineStr">
        <is>
          <t>Grupos · F1</t>
        </is>
      </c>
      <c r="C4" s="12" t="inlineStr">
        <is>
          <t>jue 11 jun · 2:00 PM</t>
        </is>
      </c>
      <c r="D4" s="13" t="inlineStr">
        <is>
          <t>Mexico City Stadium</t>
        </is>
      </c>
      <c r="E4" s="13" t="inlineStr">
        <is>
          <t>México</t>
        </is>
      </c>
      <c r="F4" s="14" t="n"/>
      <c r="G4" s="14" t="n"/>
      <c r="H4" s="13" t="inlineStr">
        <is>
          <t>Sudáfrica</t>
        </is>
      </c>
      <c r="I4" s="12" t="n">
        <v>1</v>
      </c>
      <c r="J4" s="15" t="n"/>
      <c r="K4" s="15" t="n"/>
      <c r="L4" s="16">
        <f>IF(OR(F4="",G4="",J4="",K4=""),"",IF(AND(F4=J4,G4=K4),5*I4,IF(SIGN(F4-G4)=SIGN(J4-K4),3*I4,0)))</f>
        <v/>
      </c>
    </row>
    <row r="5">
      <c r="A5" s="12" t="n">
        <v>2</v>
      </c>
      <c r="B5" s="12" t="inlineStr">
        <is>
          <t>Grupos · F1</t>
        </is>
      </c>
      <c r="C5" s="12" t="inlineStr">
        <is>
          <t>jue 11 jun · 9:00 PM</t>
        </is>
      </c>
      <c r="D5" s="13" t="inlineStr">
        <is>
          <t>Guadalajara Stadium</t>
        </is>
      </c>
      <c r="E5" s="13" t="inlineStr">
        <is>
          <t>Corea del Sur</t>
        </is>
      </c>
      <c r="F5" s="14" t="n"/>
      <c r="G5" s="14" t="n"/>
      <c r="H5" s="13" t="inlineStr">
        <is>
          <t>Chequia</t>
        </is>
      </c>
      <c r="I5" s="12" t="n">
        <v>1</v>
      </c>
      <c r="J5" s="15" t="n"/>
      <c r="K5" s="15" t="n"/>
      <c r="L5" s="16">
        <f>IF(OR(F5="",G5="",J5="",K5=""),"",IF(AND(F5=J5,G5=K5),5*I5,IF(SIGN(F5-G5)=SIGN(J5-K5),3*I5,0)))</f>
        <v/>
      </c>
    </row>
    <row r="6">
      <c r="A6" s="12" t="n">
        <v>3</v>
      </c>
      <c r="B6" s="12" t="inlineStr">
        <is>
          <t>Grupos · F1</t>
        </is>
      </c>
      <c r="C6" s="12" t="inlineStr">
        <is>
          <t>vie 12 jun · 2:00 PM</t>
        </is>
      </c>
      <c r="D6" s="13" t="inlineStr">
        <is>
          <t>Toronto Stadium</t>
        </is>
      </c>
      <c r="E6" s="13" t="inlineStr">
        <is>
          <t>Canadá</t>
        </is>
      </c>
      <c r="F6" s="14" t="n"/>
      <c r="G6" s="14" t="n"/>
      <c r="H6" s="13" t="inlineStr">
        <is>
          <t>Bosnia y Herzegovina</t>
        </is>
      </c>
      <c r="I6" s="12" t="n">
        <v>1</v>
      </c>
      <c r="J6" s="15" t="n"/>
      <c r="K6" s="15" t="n"/>
      <c r="L6" s="16">
        <f>IF(OR(F6="",G6="",J6="",K6=""),"",IF(AND(F6=J6,G6=K6),5*I6,IF(SIGN(F6-G6)=SIGN(J6-K6),3*I6,0)))</f>
        <v/>
      </c>
    </row>
    <row r="7">
      <c r="A7" s="12" t="n">
        <v>4</v>
      </c>
      <c r="B7" s="12" t="inlineStr">
        <is>
          <t>Grupos · F1</t>
        </is>
      </c>
      <c r="C7" s="12" t="inlineStr">
        <is>
          <t>vie 12 jun · 8:00 PM</t>
        </is>
      </c>
      <c r="D7" s="13" t="inlineStr">
        <is>
          <t>Los Angeles Stadium</t>
        </is>
      </c>
      <c r="E7" s="13" t="inlineStr">
        <is>
          <t>Estados Unidos</t>
        </is>
      </c>
      <c r="F7" s="14" t="n"/>
      <c r="G7" s="14" t="n"/>
      <c r="H7" s="13" t="inlineStr">
        <is>
          <t>Paraguay</t>
        </is>
      </c>
      <c r="I7" s="12" t="n">
        <v>1</v>
      </c>
      <c r="J7" s="15" t="n"/>
      <c r="K7" s="15" t="n"/>
      <c r="L7" s="16">
        <f>IF(OR(F7="",G7="",J7="",K7=""),"",IF(AND(F7=J7,G7=K7),5*I7,IF(SIGN(F7-G7)=SIGN(J7-K7),3*I7,0)))</f>
        <v/>
      </c>
    </row>
    <row r="8">
      <c r="A8" s="12" t="n">
        <v>8</v>
      </c>
      <c r="B8" s="12" t="inlineStr">
        <is>
          <t>Grupos · F1</t>
        </is>
      </c>
      <c r="C8" s="12" t="inlineStr">
        <is>
          <t>sáb 13 jun · 2:00 PM</t>
        </is>
      </c>
      <c r="D8" s="13" t="inlineStr">
        <is>
          <t>San Francisco Bay Area Stadium</t>
        </is>
      </c>
      <c r="E8" s="13" t="inlineStr">
        <is>
          <t>Catar</t>
        </is>
      </c>
      <c r="F8" s="14" t="n"/>
      <c r="G8" s="14" t="n"/>
      <c r="H8" s="13" t="inlineStr">
        <is>
          <t>Suiza</t>
        </is>
      </c>
      <c r="I8" s="12" t="n">
        <v>1</v>
      </c>
      <c r="J8" s="15" t="n"/>
      <c r="K8" s="15" t="n"/>
      <c r="L8" s="16">
        <f>IF(OR(F8="",G8="",J8="",K8=""),"",IF(AND(F8=J8,G8=K8),5*I8,IF(SIGN(F8-G8)=SIGN(J8-K8),3*I8,0)))</f>
        <v/>
      </c>
    </row>
    <row r="9">
      <c r="A9" s="12" t="n">
        <v>7</v>
      </c>
      <c r="B9" s="12" t="inlineStr">
        <is>
          <t>Grupos · F1</t>
        </is>
      </c>
      <c r="C9" s="12" t="inlineStr">
        <is>
          <t>sáb 13 jun · 5:00 PM</t>
        </is>
      </c>
      <c r="D9" s="13" t="inlineStr">
        <is>
          <t>New York/New Jersey Stadium</t>
        </is>
      </c>
      <c r="E9" s="13" t="inlineStr">
        <is>
          <t>Brasil</t>
        </is>
      </c>
      <c r="F9" s="14" t="n"/>
      <c r="G9" s="14" t="n"/>
      <c r="H9" s="13" t="inlineStr">
        <is>
          <t>Marruecos</t>
        </is>
      </c>
      <c r="I9" s="12" t="n">
        <v>1</v>
      </c>
      <c r="J9" s="15" t="n"/>
      <c r="K9" s="15" t="n"/>
      <c r="L9" s="16">
        <f>IF(OR(F9="",G9="",J9="",K9=""),"",IF(AND(F9=J9,G9=K9),5*I9,IF(SIGN(F9-G9)=SIGN(J9-K9),3*I9,0)))</f>
        <v/>
      </c>
    </row>
    <row r="10">
      <c r="A10" s="12" t="n">
        <v>5</v>
      </c>
      <c r="B10" s="12" t="inlineStr">
        <is>
          <t>Grupos · F1</t>
        </is>
      </c>
      <c r="C10" s="12" t="inlineStr">
        <is>
          <t>sáb 13 jun · 8:00 PM</t>
        </is>
      </c>
      <c r="D10" s="13" t="inlineStr">
        <is>
          <t>Boston Stadium</t>
        </is>
      </c>
      <c r="E10" s="13" t="inlineStr">
        <is>
          <t>Haití</t>
        </is>
      </c>
      <c r="F10" s="14" t="n"/>
      <c r="G10" s="14" t="n"/>
      <c r="H10" s="13" t="inlineStr">
        <is>
          <t>Escocia</t>
        </is>
      </c>
      <c r="I10" s="12" t="n">
        <v>1</v>
      </c>
      <c r="J10" s="15" t="n"/>
      <c r="K10" s="15" t="n"/>
      <c r="L10" s="16">
        <f>IF(OR(F10="",G10="",J10="",K10=""),"",IF(AND(F10=J10,G10=K10),5*I10,IF(SIGN(F10-G10)=SIGN(J10-K10),3*I10,0)))</f>
        <v/>
      </c>
    </row>
    <row r="11">
      <c r="A11" s="12" t="n">
        <v>6</v>
      </c>
      <c r="B11" s="12" t="inlineStr">
        <is>
          <t>Grupos · F1</t>
        </is>
      </c>
      <c r="C11" s="12" t="inlineStr">
        <is>
          <t>sáb 13 jun · 11:00 PM</t>
        </is>
      </c>
      <c r="D11" s="13" t="inlineStr">
        <is>
          <t>BC Place Vancouver</t>
        </is>
      </c>
      <c r="E11" s="13" t="inlineStr">
        <is>
          <t>Australia</t>
        </is>
      </c>
      <c r="F11" s="14" t="n"/>
      <c r="G11" s="14" t="n"/>
      <c r="H11" s="13" t="inlineStr">
        <is>
          <t>Turquía</t>
        </is>
      </c>
      <c r="I11" s="12" t="n">
        <v>1</v>
      </c>
      <c r="J11" s="15" t="n"/>
      <c r="K11" s="15" t="n"/>
      <c r="L11" s="16">
        <f>IF(OR(F11="",G11="",J11="",K11=""),"",IF(AND(F11=J11,G11=K11),5*I11,IF(SIGN(F11-G11)=SIGN(J11-K11),3*I11,0)))</f>
        <v/>
      </c>
    </row>
    <row r="12">
      <c r="A12" s="12" t="n">
        <v>10</v>
      </c>
      <c r="B12" s="12" t="inlineStr">
        <is>
          <t>Grupos · F1</t>
        </is>
      </c>
      <c r="C12" s="12" t="inlineStr">
        <is>
          <t>dom 14 jun · 12:00 PM</t>
        </is>
      </c>
      <c r="D12" s="13" t="inlineStr">
        <is>
          <t>Houston Stadium</t>
        </is>
      </c>
      <c r="E12" s="13" t="inlineStr">
        <is>
          <t>Alemania</t>
        </is>
      </c>
      <c r="F12" s="14" t="n"/>
      <c r="G12" s="14" t="n"/>
      <c r="H12" s="13" t="inlineStr">
        <is>
          <t>Curazao</t>
        </is>
      </c>
      <c r="I12" s="12" t="n">
        <v>1</v>
      </c>
      <c r="J12" s="15" t="n"/>
      <c r="K12" s="15" t="n"/>
      <c r="L12" s="16">
        <f>IF(OR(F12="",G12="",J12="",K12=""),"",IF(AND(F12=J12,G12=K12),5*I12,IF(SIGN(F12-G12)=SIGN(J12-K12),3*I12,0)))</f>
        <v/>
      </c>
    </row>
    <row r="13">
      <c r="A13" s="12" t="n">
        <v>11</v>
      </c>
      <c r="B13" s="12" t="inlineStr">
        <is>
          <t>Grupos · F1</t>
        </is>
      </c>
      <c r="C13" s="12" t="inlineStr">
        <is>
          <t>dom 14 jun · 3:00 PM</t>
        </is>
      </c>
      <c r="D13" s="13" t="inlineStr">
        <is>
          <t>Dallas Stadium</t>
        </is>
      </c>
      <c r="E13" s="13" t="inlineStr">
        <is>
          <t>Países Bajos</t>
        </is>
      </c>
      <c r="F13" s="14" t="n"/>
      <c r="G13" s="14" t="n"/>
      <c r="H13" s="13" t="inlineStr">
        <is>
          <t>Japón</t>
        </is>
      </c>
      <c r="I13" s="12" t="n">
        <v>1</v>
      </c>
      <c r="J13" s="15" t="n"/>
      <c r="K13" s="15" t="n"/>
      <c r="L13" s="16">
        <f>IF(OR(F13="",G13="",J13="",K13=""),"",IF(AND(F13=J13,G13=K13),5*I13,IF(SIGN(F13-G13)=SIGN(J13-K13),3*I13,0)))</f>
        <v/>
      </c>
    </row>
    <row r="14">
      <c r="A14" s="12" t="n">
        <v>9</v>
      </c>
      <c r="B14" s="12" t="inlineStr">
        <is>
          <t>Grupos · F1</t>
        </is>
      </c>
      <c r="C14" s="12" t="inlineStr">
        <is>
          <t>dom 14 jun · 6:00 PM</t>
        </is>
      </c>
      <c r="D14" s="13" t="inlineStr">
        <is>
          <t>Philadelphia Stadium</t>
        </is>
      </c>
      <c r="E14" s="13" t="inlineStr">
        <is>
          <t>Costa de Marfil</t>
        </is>
      </c>
      <c r="F14" s="14" t="n"/>
      <c r="G14" s="14" t="n"/>
      <c r="H14" s="13" t="inlineStr">
        <is>
          <t>Ecuador</t>
        </is>
      </c>
      <c r="I14" s="12" t="n">
        <v>1</v>
      </c>
      <c r="J14" s="15" t="n"/>
      <c r="K14" s="15" t="n"/>
      <c r="L14" s="16">
        <f>IF(OR(F14="",G14="",J14="",K14=""),"",IF(AND(F14=J14,G14=K14),5*I14,IF(SIGN(F14-G14)=SIGN(J14-K14),3*I14,0)))</f>
        <v/>
      </c>
    </row>
    <row r="15">
      <c r="A15" s="12" t="n">
        <v>12</v>
      </c>
      <c r="B15" s="12" t="inlineStr">
        <is>
          <t>Grupos · F1</t>
        </is>
      </c>
      <c r="C15" s="12" t="inlineStr">
        <is>
          <t>dom 14 jun · 9:00 PM</t>
        </is>
      </c>
      <c r="D15" s="13" t="inlineStr">
        <is>
          <t>Monterrey Stadium</t>
        </is>
      </c>
      <c r="E15" s="13" t="inlineStr">
        <is>
          <t>Suecia</t>
        </is>
      </c>
      <c r="F15" s="14" t="n"/>
      <c r="G15" s="14" t="n"/>
      <c r="H15" s="13" t="inlineStr">
        <is>
          <t>Túnez</t>
        </is>
      </c>
      <c r="I15" s="12" t="n">
        <v>1</v>
      </c>
      <c r="J15" s="15" t="n"/>
      <c r="K15" s="15" t="n"/>
      <c r="L15" s="16">
        <f>IF(OR(F15="",G15="",J15="",K15=""),"",IF(AND(F15=J15,G15=K15),5*I15,IF(SIGN(F15-G15)=SIGN(J15-K15),3*I15,0)))</f>
        <v/>
      </c>
    </row>
    <row r="16">
      <c r="A16" s="12" t="n">
        <v>14</v>
      </c>
      <c r="B16" s="12" t="inlineStr">
        <is>
          <t>Grupos · F1</t>
        </is>
      </c>
      <c r="C16" s="12" t="inlineStr">
        <is>
          <t>lun 15 jun · 11:00 AM</t>
        </is>
      </c>
      <c r="D16" s="13" t="inlineStr">
        <is>
          <t>Atlanta Stadium</t>
        </is>
      </c>
      <c r="E16" s="13" t="inlineStr">
        <is>
          <t>España</t>
        </is>
      </c>
      <c r="F16" s="14" t="n"/>
      <c r="G16" s="14" t="n"/>
      <c r="H16" s="13" t="inlineStr">
        <is>
          <t>Cabo Verde</t>
        </is>
      </c>
      <c r="I16" s="12" t="n">
        <v>1</v>
      </c>
      <c r="J16" s="15" t="n"/>
      <c r="K16" s="15" t="n"/>
      <c r="L16" s="16">
        <f>IF(OR(F16="",G16="",J16="",K16=""),"",IF(AND(F16=J16,G16=K16),5*I16,IF(SIGN(F16-G16)=SIGN(J16-K16),3*I16,0)))</f>
        <v/>
      </c>
    </row>
    <row r="17">
      <c r="A17" s="12" t="n">
        <v>16</v>
      </c>
      <c r="B17" s="12" t="inlineStr">
        <is>
          <t>Grupos · F1</t>
        </is>
      </c>
      <c r="C17" s="12" t="inlineStr">
        <is>
          <t>lun 15 jun · 2:00 PM</t>
        </is>
      </c>
      <c r="D17" s="13" t="inlineStr">
        <is>
          <t>Seattle Stadium</t>
        </is>
      </c>
      <c r="E17" s="13" t="inlineStr">
        <is>
          <t>Bélgica</t>
        </is>
      </c>
      <c r="F17" s="14" t="n"/>
      <c r="G17" s="14" t="n"/>
      <c r="H17" s="13" t="inlineStr">
        <is>
          <t>Egipto</t>
        </is>
      </c>
      <c r="I17" s="12" t="n">
        <v>1</v>
      </c>
      <c r="J17" s="15" t="n"/>
      <c r="K17" s="15" t="n"/>
      <c r="L17" s="16">
        <f>IF(OR(F17="",G17="",J17="",K17=""),"",IF(AND(F17=J17,G17=K17),5*I17,IF(SIGN(F17-G17)=SIGN(J17-K17),3*I17,0)))</f>
        <v/>
      </c>
    </row>
    <row r="18">
      <c r="A18" s="12" t="n">
        <v>13</v>
      </c>
      <c r="B18" s="12" t="inlineStr">
        <is>
          <t>Grupos · F1</t>
        </is>
      </c>
      <c r="C18" s="12" t="inlineStr">
        <is>
          <t>lun 15 jun · 5:00 PM</t>
        </is>
      </c>
      <c r="D18" s="13" t="inlineStr">
        <is>
          <t>Miami Stadium</t>
        </is>
      </c>
      <c r="E18" s="13" t="inlineStr">
        <is>
          <t>Arabia Saudita</t>
        </is>
      </c>
      <c r="F18" s="14" t="n"/>
      <c r="G18" s="14" t="n"/>
      <c r="H18" s="13" t="inlineStr">
        <is>
          <t>Uruguay</t>
        </is>
      </c>
      <c r="I18" s="12" t="n">
        <v>1</v>
      </c>
      <c r="J18" s="15" t="n"/>
      <c r="K18" s="15" t="n"/>
      <c r="L18" s="16">
        <f>IF(OR(F18="",G18="",J18="",K18=""),"",IF(AND(F18=J18,G18=K18),5*I18,IF(SIGN(F18-G18)=SIGN(J18-K18),3*I18,0)))</f>
        <v/>
      </c>
    </row>
    <row r="19">
      <c r="A19" s="12" t="n">
        <v>15</v>
      </c>
      <c r="B19" s="12" t="inlineStr">
        <is>
          <t>Grupos · F1</t>
        </is>
      </c>
      <c r="C19" s="12" t="inlineStr">
        <is>
          <t>lun 15 jun · 8:00 PM</t>
        </is>
      </c>
      <c r="D19" s="13" t="inlineStr">
        <is>
          <t>Los Angeles Stadium</t>
        </is>
      </c>
      <c r="E19" s="13" t="inlineStr">
        <is>
          <t>Irán</t>
        </is>
      </c>
      <c r="F19" s="14" t="n"/>
      <c r="G19" s="14" t="n"/>
      <c r="H19" s="13" t="inlineStr">
        <is>
          <t>Nueva Zelanda</t>
        </is>
      </c>
      <c r="I19" s="12" t="n">
        <v>1</v>
      </c>
      <c r="J19" s="15" t="n"/>
      <c r="K19" s="15" t="n"/>
      <c r="L19" s="16">
        <f>IF(OR(F19="",G19="",J19="",K19=""),"",IF(AND(F19=J19,G19=K19),5*I19,IF(SIGN(F19-G19)=SIGN(J19-K19),3*I19,0)))</f>
        <v/>
      </c>
    </row>
    <row r="20">
      <c r="A20" s="12" t="n">
        <v>17</v>
      </c>
      <c r="B20" s="12" t="inlineStr">
        <is>
          <t>Grupos · F1</t>
        </is>
      </c>
      <c r="C20" s="12" t="inlineStr">
        <is>
          <t>mar 16 jun · 2:00 PM</t>
        </is>
      </c>
      <c r="D20" s="13" t="inlineStr">
        <is>
          <t>New York/New Jersey Stadium</t>
        </is>
      </c>
      <c r="E20" s="13" t="inlineStr">
        <is>
          <t>Francia</t>
        </is>
      </c>
      <c r="F20" s="14" t="n"/>
      <c r="G20" s="14" t="n"/>
      <c r="H20" s="13" t="inlineStr">
        <is>
          <t>Senegal</t>
        </is>
      </c>
      <c r="I20" s="12" t="n">
        <v>1</v>
      </c>
      <c r="J20" s="15" t="n"/>
      <c r="K20" s="15" t="n"/>
      <c r="L20" s="16">
        <f>IF(OR(F20="",G20="",J20="",K20=""),"",IF(AND(F20=J20,G20=K20),5*I20,IF(SIGN(F20-G20)=SIGN(J20-K20),3*I20,0)))</f>
        <v/>
      </c>
    </row>
    <row r="21">
      <c r="A21" s="12" t="n">
        <v>18</v>
      </c>
      <c r="B21" s="12" t="inlineStr">
        <is>
          <t>Grupos · F1</t>
        </is>
      </c>
      <c r="C21" s="12" t="inlineStr">
        <is>
          <t>mar 16 jun · 5:00 PM</t>
        </is>
      </c>
      <c r="D21" s="13" t="inlineStr">
        <is>
          <t>Boston Stadium</t>
        </is>
      </c>
      <c r="E21" s="13" t="inlineStr">
        <is>
          <t>Irak</t>
        </is>
      </c>
      <c r="F21" s="14" t="n"/>
      <c r="G21" s="14" t="n"/>
      <c r="H21" s="13" t="inlineStr">
        <is>
          <t>Noruega</t>
        </is>
      </c>
      <c r="I21" s="12" t="n">
        <v>1</v>
      </c>
      <c r="J21" s="15" t="n"/>
      <c r="K21" s="15" t="n"/>
      <c r="L21" s="16">
        <f>IF(OR(F21="",G21="",J21="",K21=""),"",IF(AND(F21=J21,G21=K21),5*I21,IF(SIGN(F21-G21)=SIGN(J21-K21),3*I21,0)))</f>
        <v/>
      </c>
    </row>
    <row r="22">
      <c r="A22" s="12" t="n">
        <v>19</v>
      </c>
      <c r="B22" s="12" t="inlineStr">
        <is>
          <t>Grupos · F1</t>
        </is>
      </c>
      <c r="C22" s="12" t="inlineStr">
        <is>
          <t>mar 16 jun · 8:00 PM</t>
        </is>
      </c>
      <c r="D22" s="13" t="inlineStr">
        <is>
          <t>Kansas City Stadium</t>
        </is>
      </c>
      <c r="E22" s="13" t="inlineStr">
        <is>
          <t>Argentina</t>
        </is>
      </c>
      <c r="F22" s="14" t="n"/>
      <c r="G22" s="14" t="n"/>
      <c r="H22" s="13" t="inlineStr">
        <is>
          <t>Argelia</t>
        </is>
      </c>
      <c r="I22" s="12" t="n">
        <v>1</v>
      </c>
      <c r="J22" s="15" t="n"/>
      <c r="K22" s="15" t="n"/>
      <c r="L22" s="16">
        <f>IF(OR(F22="",G22="",J22="",K22=""),"",IF(AND(F22=J22,G22=K22),5*I22,IF(SIGN(F22-G22)=SIGN(J22-K22),3*I22,0)))</f>
        <v/>
      </c>
    </row>
    <row r="23">
      <c r="A23" s="12" t="n">
        <v>20</v>
      </c>
      <c r="B23" s="12" t="inlineStr">
        <is>
          <t>Grupos · F1</t>
        </is>
      </c>
      <c r="C23" s="12" t="inlineStr">
        <is>
          <t>mar 16 jun · 11:00 PM</t>
        </is>
      </c>
      <c r="D23" s="13" t="inlineStr">
        <is>
          <t>San Francisco Bay Area Stadium</t>
        </is>
      </c>
      <c r="E23" s="13" t="inlineStr">
        <is>
          <t>Austria</t>
        </is>
      </c>
      <c r="F23" s="14" t="n"/>
      <c r="G23" s="14" t="n"/>
      <c r="H23" s="13" t="inlineStr">
        <is>
          <t>Jordania</t>
        </is>
      </c>
      <c r="I23" s="12" t="n">
        <v>1</v>
      </c>
      <c r="J23" s="15" t="n"/>
      <c r="K23" s="15" t="n"/>
      <c r="L23" s="16">
        <f>IF(OR(F23="",G23="",J23="",K23=""),"",IF(AND(F23=J23,G23=K23),5*I23,IF(SIGN(F23-G23)=SIGN(J23-K23),3*I23,0)))</f>
        <v/>
      </c>
    </row>
    <row r="24">
      <c r="A24" s="12" t="n">
        <v>23</v>
      </c>
      <c r="B24" s="12" t="inlineStr">
        <is>
          <t>Grupos · F1</t>
        </is>
      </c>
      <c r="C24" s="12" t="inlineStr">
        <is>
          <t>mié 17 jun · 12:00 PM</t>
        </is>
      </c>
      <c r="D24" s="13" t="inlineStr">
        <is>
          <t>Houston Stadium</t>
        </is>
      </c>
      <c r="E24" s="13" t="inlineStr">
        <is>
          <t>Portugal</t>
        </is>
      </c>
      <c r="F24" s="14" t="n"/>
      <c r="G24" s="14" t="n"/>
      <c r="H24" s="13" t="inlineStr">
        <is>
          <t>RD Congo</t>
        </is>
      </c>
      <c r="I24" s="12" t="n">
        <v>1</v>
      </c>
      <c r="J24" s="15" t="n"/>
      <c r="K24" s="15" t="n"/>
      <c r="L24" s="16">
        <f>IF(OR(F24="",G24="",J24="",K24=""),"",IF(AND(F24=J24,G24=K24),5*I24,IF(SIGN(F24-G24)=SIGN(J24-K24),3*I24,0)))</f>
        <v/>
      </c>
    </row>
    <row r="25">
      <c r="A25" s="12" t="n">
        <v>22</v>
      </c>
      <c r="B25" s="12" t="inlineStr">
        <is>
          <t>Grupos · F1</t>
        </is>
      </c>
      <c r="C25" s="12" t="inlineStr">
        <is>
          <t>mié 17 jun · 3:00 PM</t>
        </is>
      </c>
      <c r="D25" s="13" t="inlineStr">
        <is>
          <t>Dallas Stadium</t>
        </is>
      </c>
      <c r="E25" s="13" t="inlineStr">
        <is>
          <t>Inglaterra</t>
        </is>
      </c>
      <c r="F25" s="14" t="n"/>
      <c r="G25" s="14" t="n"/>
      <c r="H25" s="13" t="inlineStr">
        <is>
          <t>Croacia</t>
        </is>
      </c>
      <c r="I25" s="12" t="n">
        <v>1</v>
      </c>
      <c r="J25" s="15" t="n"/>
      <c r="K25" s="15" t="n"/>
      <c r="L25" s="16">
        <f>IF(OR(F25="",G25="",J25="",K25=""),"",IF(AND(F25=J25,G25=K25),5*I25,IF(SIGN(F25-G25)=SIGN(J25-K25),3*I25,0)))</f>
        <v/>
      </c>
    </row>
    <row r="26">
      <c r="A26" s="12" t="n">
        <v>21</v>
      </c>
      <c r="B26" s="12" t="inlineStr">
        <is>
          <t>Grupos · F1</t>
        </is>
      </c>
      <c r="C26" s="12" t="inlineStr">
        <is>
          <t>mié 17 jun · 6:00 PM</t>
        </is>
      </c>
      <c r="D26" s="13" t="inlineStr">
        <is>
          <t>Toronto Stadium</t>
        </is>
      </c>
      <c r="E26" s="13" t="inlineStr">
        <is>
          <t>Ghana</t>
        </is>
      </c>
      <c r="F26" s="14" t="n"/>
      <c r="G26" s="14" t="n"/>
      <c r="H26" s="13" t="inlineStr">
        <is>
          <t>Panamá</t>
        </is>
      </c>
      <c r="I26" s="12" t="n">
        <v>1</v>
      </c>
      <c r="J26" s="15" t="n"/>
      <c r="K26" s="15" t="n"/>
      <c r="L26" s="16">
        <f>IF(OR(F26="",G26="",J26="",K26=""),"",IF(AND(F26=J26,G26=K26),5*I26,IF(SIGN(F26-G26)=SIGN(J26-K26),3*I26,0)))</f>
        <v/>
      </c>
    </row>
    <row r="27">
      <c r="A27" s="17" t="n">
        <v>24</v>
      </c>
      <c r="B27" s="17" t="inlineStr">
        <is>
          <t>Grupos · F1</t>
        </is>
      </c>
      <c r="C27" s="17" t="inlineStr">
        <is>
          <t>mié 17 jun · 9:00 PM</t>
        </is>
      </c>
      <c r="D27" s="18" t="inlineStr">
        <is>
          <t>Mexico City Stadium</t>
        </is>
      </c>
      <c r="E27" s="18" t="inlineStr">
        <is>
          <t>Uzbekistán</t>
        </is>
      </c>
      <c r="F27" s="14" t="n"/>
      <c r="G27" s="14" t="n"/>
      <c r="H27" s="18" t="inlineStr">
        <is>
          <t>Colombia 🇨🇴</t>
        </is>
      </c>
      <c r="I27" s="17" t="n">
        <v>1</v>
      </c>
      <c r="J27" s="15" t="n"/>
      <c r="K27" s="15" t="n"/>
      <c r="L27" s="16">
        <f>IF(OR(F27="",G27="",J27="",K27=""),"",IF(AND(F27=J27,G27=K27),5*I27,IF(SIGN(F27-G27)=SIGN(J27-K27),3*I27,0)))</f>
        <v/>
      </c>
    </row>
    <row r="28">
      <c r="A28" s="12" t="n">
        <v>25</v>
      </c>
      <c r="B28" s="12" t="inlineStr">
        <is>
          <t>Grupos · F2</t>
        </is>
      </c>
      <c r="C28" s="12" t="inlineStr">
        <is>
          <t>jue 18 jun · 11:00 AM</t>
        </is>
      </c>
      <c r="D28" s="13" t="inlineStr">
        <is>
          <t>Atlanta Stadium</t>
        </is>
      </c>
      <c r="E28" s="13" t="inlineStr">
        <is>
          <t>Chequia</t>
        </is>
      </c>
      <c r="F28" s="14" t="n"/>
      <c r="G28" s="14" t="n"/>
      <c r="H28" s="13" t="inlineStr">
        <is>
          <t>Sudáfrica</t>
        </is>
      </c>
      <c r="I28" s="12" t="n">
        <v>1</v>
      </c>
      <c r="J28" s="15" t="n"/>
      <c r="K28" s="15" t="n"/>
      <c r="L28" s="16">
        <f>IF(OR(F28="",G28="",J28="",K28=""),"",IF(AND(F28=J28,G28=K28),5*I28,IF(SIGN(F28-G28)=SIGN(J28-K28),3*I28,0)))</f>
        <v/>
      </c>
    </row>
    <row r="29">
      <c r="A29" s="12" t="n">
        <v>26</v>
      </c>
      <c r="B29" s="12" t="inlineStr">
        <is>
          <t>Grupos · F2</t>
        </is>
      </c>
      <c r="C29" s="12" t="inlineStr">
        <is>
          <t>jue 18 jun · 2:00 PM</t>
        </is>
      </c>
      <c r="D29" s="13" t="inlineStr">
        <is>
          <t>Los Angeles Stadium</t>
        </is>
      </c>
      <c r="E29" s="13" t="inlineStr">
        <is>
          <t>Suiza</t>
        </is>
      </c>
      <c r="F29" s="14" t="n"/>
      <c r="G29" s="14" t="n"/>
      <c r="H29" s="13" t="inlineStr">
        <is>
          <t>Bosnia y Herzegovina</t>
        </is>
      </c>
      <c r="I29" s="12" t="n">
        <v>1</v>
      </c>
      <c r="J29" s="15" t="n"/>
      <c r="K29" s="15" t="n"/>
      <c r="L29" s="16">
        <f>IF(OR(F29="",G29="",J29="",K29=""),"",IF(AND(F29=J29,G29=K29),5*I29,IF(SIGN(F29-G29)=SIGN(J29-K29),3*I29,0)))</f>
        <v/>
      </c>
    </row>
    <row r="30">
      <c r="A30" s="12" t="n">
        <v>27</v>
      </c>
      <c r="B30" s="12" t="inlineStr">
        <is>
          <t>Grupos · F2</t>
        </is>
      </c>
      <c r="C30" s="12" t="inlineStr">
        <is>
          <t>jue 18 jun · 5:00 PM</t>
        </is>
      </c>
      <c r="D30" s="13" t="inlineStr">
        <is>
          <t>BC Place Vancouver</t>
        </is>
      </c>
      <c r="E30" s="13" t="inlineStr">
        <is>
          <t>Canadá</t>
        </is>
      </c>
      <c r="F30" s="14" t="n"/>
      <c r="G30" s="14" t="n"/>
      <c r="H30" s="13" t="inlineStr">
        <is>
          <t>Catar</t>
        </is>
      </c>
      <c r="I30" s="12" t="n">
        <v>1</v>
      </c>
      <c r="J30" s="15" t="n"/>
      <c r="K30" s="15" t="n"/>
      <c r="L30" s="16">
        <f>IF(OR(F30="",G30="",J30="",K30=""),"",IF(AND(F30=J30,G30=K30),5*I30,IF(SIGN(F30-G30)=SIGN(J30-K30),3*I30,0)))</f>
        <v/>
      </c>
    </row>
    <row r="31">
      <c r="A31" s="12" t="n">
        <v>28</v>
      </c>
      <c r="B31" s="12" t="inlineStr">
        <is>
          <t>Grupos · F2</t>
        </is>
      </c>
      <c r="C31" s="12" t="inlineStr">
        <is>
          <t>jue 18 jun · 8:00 PM</t>
        </is>
      </c>
      <c r="D31" s="13" t="inlineStr">
        <is>
          <t>Guadalajara Stadium</t>
        </is>
      </c>
      <c r="E31" s="13" t="inlineStr">
        <is>
          <t>México</t>
        </is>
      </c>
      <c r="F31" s="14" t="n"/>
      <c r="G31" s="14" t="n"/>
      <c r="H31" s="13" t="inlineStr">
        <is>
          <t>Corea del Sur</t>
        </is>
      </c>
      <c r="I31" s="12" t="n">
        <v>1</v>
      </c>
      <c r="J31" s="15" t="n"/>
      <c r="K31" s="15" t="n"/>
      <c r="L31" s="16">
        <f>IF(OR(F31="",G31="",J31="",K31=""),"",IF(AND(F31=J31,G31=K31),5*I31,IF(SIGN(F31-G31)=SIGN(J31-K31),3*I31,0)))</f>
        <v/>
      </c>
    </row>
    <row r="32">
      <c r="A32" s="12" t="n">
        <v>32</v>
      </c>
      <c r="B32" s="12" t="inlineStr">
        <is>
          <t>Grupos · F2</t>
        </is>
      </c>
      <c r="C32" s="12" t="inlineStr">
        <is>
          <t>vie 19 jun · 2:00 PM</t>
        </is>
      </c>
      <c r="D32" s="13" t="inlineStr">
        <is>
          <t>Seattle Stadium</t>
        </is>
      </c>
      <c r="E32" s="13" t="inlineStr">
        <is>
          <t>Estados Unidos</t>
        </is>
      </c>
      <c r="F32" s="14" t="n"/>
      <c r="G32" s="14" t="n"/>
      <c r="H32" s="13" t="inlineStr">
        <is>
          <t>Australia</t>
        </is>
      </c>
      <c r="I32" s="12" t="n">
        <v>1</v>
      </c>
      <c r="J32" s="15" t="n"/>
      <c r="K32" s="15" t="n"/>
      <c r="L32" s="16">
        <f>IF(OR(F32="",G32="",J32="",K32=""),"",IF(AND(F32=J32,G32=K32),5*I32,IF(SIGN(F32-G32)=SIGN(J32-K32),3*I32,0)))</f>
        <v/>
      </c>
    </row>
    <row r="33">
      <c r="A33" s="12" t="n">
        <v>30</v>
      </c>
      <c r="B33" s="12" t="inlineStr">
        <is>
          <t>Grupos · F2</t>
        </is>
      </c>
      <c r="C33" s="12" t="inlineStr">
        <is>
          <t>vie 19 jun · 5:00 PM</t>
        </is>
      </c>
      <c r="D33" s="13" t="inlineStr">
        <is>
          <t>Boston Stadium</t>
        </is>
      </c>
      <c r="E33" s="13" t="inlineStr">
        <is>
          <t>Escocia</t>
        </is>
      </c>
      <c r="F33" s="14" t="n"/>
      <c r="G33" s="14" t="n"/>
      <c r="H33" s="13" t="inlineStr">
        <is>
          <t>Marruecos</t>
        </is>
      </c>
      <c r="I33" s="12" t="n">
        <v>1</v>
      </c>
      <c r="J33" s="15" t="n"/>
      <c r="K33" s="15" t="n"/>
      <c r="L33" s="16">
        <f>IF(OR(F33="",G33="",J33="",K33=""),"",IF(AND(F33=J33,G33=K33),5*I33,IF(SIGN(F33-G33)=SIGN(J33-K33),3*I33,0)))</f>
        <v/>
      </c>
    </row>
    <row r="34">
      <c r="A34" s="12" t="n">
        <v>29</v>
      </c>
      <c r="B34" s="12" t="inlineStr">
        <is>
          <t>Grupos · F2</t>
        </is>
      </c>
      <c r="C34" s="12" t="inlineStr">
        <is>
          <t>vie 19 jun · 8:00 PM</t>
        </is>
      </c>
      <c r="D34" s="13" t="inlineStr">
        <is>
          <t>Philadelphia Stadium</t>
        </is>
      </c>
      <c r="E34" s="13" t="inlineStr">
        <is>
          <t>Brasil</t>
        </is>
      </c>
      <c r="F34" s="14" t="n"/>
      <c r="G34" s="14" t="n"/>
      <c r="H34" s="13" t="inlineStr">
        <is>
          <t>Haití</t>
        </is>
      </c>
      <c r="I34" s="12" t="n">
        <v>1</v>
      </c>
      <c r="J34" s="15" t="n"/>
      <c r="K34" s="15" t="n"/>
      <c r="L34" s="16">
        <f>IF(OR(F34="",G34="",J34="",K34=""),"",IF(AND(F34=J34,G34=K34),5*I34,IF(SIGN(F34-G34)=SIGN(J34-K34),3*I34,0)))</f>
        <v/>
      </c>
    </row>
    <row r="35">
      <c r="A35" s="12" t="n">
        <v>31</v>
      </c>
      <c r="B35" s="12" t="inlineStr">
        <is>
          <t>Grupos · F2</t>
        </is>
      </c>
      <c r="C35" s="12" t="inlineStr">
        <is>
          <t>vie 19 jun · 11:00 PM</t>
        </is>
      </c>
      <c r="D35" s="13" t="inlineStr">
        <is>
          <t>San Francisco Bay Area Stadium</t>
        </is>
      </c>
      <c r="E35" s="13" t="inlineStr">
        <is>
          <t>Turquía</t>
        </is>
      </c>
      <c r="F35" s="14" t="n"/>
      <c r="G35" s="14" t="n"/>
      <c r="H35" s="13" t="inlineStr">
        <is>
          <t>Paraguay</t>
        </is>
      </c>
      <c r="I35" s="12" t="n">
        <v>1</v>
      </c>
      <c r="J35" s="15" t="n"/>
      <c r="K35" s="15" t="n"/>
      <c r="L35" s="16">
        <f>IF(OR(F35="",G35="",J35="",K35=""),"",IF(AND(F35=J35,G35=K35),5*I35,IF(SIGN(F35-G35)=SIGN(J35-K35),3*I35,0)))</f>
        <v/>
      </c>
    </row>
    <row r="36">
      <c r="A36" s="12" t="n">
        <v>35</v>
      </c>
      <c r="B36" s="12" t="inlineStr">
        <is>
          <t>Grupos · F2</t>
        </is>
      </c>
      <c r="C36" s="12" t="inlineStr">
        <is>
          <t>sáb 20 jun · 12:00 PM</t>
        </is>
      </c>
      <c r="D36" s="13" t="inlineStr">
        <is>
          <t>Houston Stadium</t>
        </is>
      </c>
      <c r="E36" s="13" t="inlineStr">
        <is>
          <t>Países Bajos</t>
        </is>
      </c>
      <c r="F36" s="14" t="n"/>
      <c r="G36" s="14" t="n"/>
      <c r="H36" s="13" t="inlineStr">
        <is>
          <t>Suecia</t>
        </is>
      </c>
      <c r="I36" s="12" t="n">
        <v>1</v>
      </c>
      <c r="J36" s="15" t="n"/>
      <c r="K36" s="15" t="n"/>
      <c r="L36" s="16">
        <f>IF(OR(F36="",G36="",J36="",K36=""),"",IF(AND(F36=J36,G36=K36),5*I36,IF(SIGN(F36-G36)=SIGN(J36-K36),3*I36,0)))</f>
        <v/>
      </c>
    </row>
    <row r="37">
      <c r="A37" s="12" t="n">
        <v>33</v>
      </c>
      <c r="B37" s="12" t="inlineStr">
        <is>
          <t>Grupos · F2</t>
        </is>
      </c>
      <c r="C37" s="12" t="inlineStr">
        <is>
          <t>sáb 20 jun · 3:00 PM</t>
        </is>
      </c>
      <c r="D37" s="13" t="inlineStr">
        <is>
          <t>Toronto Stadium</t>
        </is>
      </c>
      <c r="E37" s="13" t="inlineStr">
        <is>
          <t>Alemania</t>
        </is>
      </c>
      <c r="F37" s="14" t="n"/>
      <c r="G37" s="14" t="n"/>
      <c r="H37" s="13" t="inlineStr">
        <is>
          <t>Costa de Marfil</t>
        </is>
      </c>
      <c r="I37" s="12" t="n">
        <v>1</v>
      </c>
      <c r="J37" s="15" t="n"/>
      <c r="K37" s="15" t="n"/>
      <c r="L37" s="16">
        <f>IF(OR(F37="",G37="",J37="",K37=""),"",IF(AND(F37=J37,G37=K37),5*I37,IF(SIGN(F37-G37)=SIGN(J37-K37),3*I37,0)))</f>
        <v/>
      </c>
    </row>
    <row r="38">
      <c r="A38" s="12" t="n">
        <v>34</v>
      </c>
      <c r="B38" s="12" t="inlineStr">
        <is>
          <t>Grupos · F2</t>
        </is>
      </c>
      <c r="C38" s="12" t="inlineStr">
        <is>
          <t>sáb 20 jun · 7:00 PM</t>
        </is>
      </c>
      <c r="D38" s="13" t="inlineStr">
        <is>
          <t>Kansas City Stadium</t>
        </is>
      </c>
      <c r="E38" s="13" t="inlineStr">
        <is>
          <t>Ecuador</t>
        </is>
      </c>
      <c r="F38" s="14" t="n"/>
      <c r="G38" s="14" t="n"/>
      <c r="H38" s="13" t="inlineStr">
        <is>
          <t>Curazao</t>
        </is>
      </c>
      <c r="I38" s="12" t="n">
        <v>1</v>
      </c>
      <c r="J38" s="15" t="n"/>
      <c r="K38" s="15" t="n"/>
      <c r="L38" s="16">
        <f>IF(OR(F38="",G38="",J38="",K38=""),"",IF(AND(F38=J38,G38=K38),5*I38,IF(SIGN(F38-G38)=SIGN(J38-K38),3*I38,0)))</f>
        <v/>
      </c>
    </row>
    <row r="39">
      <c r="A39" s="12" t="n">
        <v>36</v>
      </c>
      <c r="B39" s="12" t="inlineStr">
        <is>
          <t>Grupos · F2</t>
        </is>
      </c>
      <c r="C39" s="12" t="inlineStr">
        <is>
          <t>sáb 20 jun · 11:00 PM</t>
        </is>
      </c>
      <c r="D39" s="13" t="inlineStr">
        <is>
          <t>Monterrey Stadium</t>
        </is>
      </c>
      <c r="E39" s="13" t="inlineStr">
        <is>
          <t>Túnez</t>
        </is>
      </c>
      <c r="F39" s="14" t="n"/>
      <c r="G39" s="14" t="n"/>
      <c r="H39" s="13" t="inlineStr">
        <is>
          <t>Japón</t>
        </is>
      </c>
      <c r="I39" s="12" t="n">
        <v>1</v>
      </c>
      <c r="J39" s="15" t="n"/>
      <c r="K39" s="15" t="n"/>
      <c r="L39" s="16">
        <f>IF(OR(F39="",G39="",J39="",K39=""),"",IF(AND(F39=J39,G39=K39),5*I39,IF(SIGN(F39-G39)=SIGN(J39-K39),3*I39,0)))</f>
        <v/>
      </c>
    </row>
    <row r="40">
      <c r="A40" s="12" t="n">
        <v>38</v>
      </c>
      <c r="B40" s="12" t="inlineStr">
        <is>
          <t>Grupos · F2</t>
        </is>
      </c>
      <c r="C40" s="12" t="inlineStr">
        <is>
          <t>dom 21 jun · 11:00 AM</t>
        </is>
      </c>
      <c r="D40" s="13" t="inlineStr">
        <is>
          <t>Atlanta Stadium</t>
        </is>
      </c>
      <c r="E40" s="13" t="inlineStr">
        <is>
          <t>España</t>
        </is>
      </c>
      <c r="F40" s="14" t="n"/>
      <c r="G40" s="14" t="n"/>
      <c r="H40" s="13" t="inlineStr">
        <is>
          <t>Arabia Saudita</t>
        </is>
      </c>
      <c r="I40" s="12" t="n">
        <v>1</v>
      </c>
      <c r="J40" s="15" t="n"/>
      <c r="K40" s="15" t="n"/>
      <c r="L40" s="16">
        <f>IF(OR(F40="",G40="",J40="",K40=""),"",IF(AND(F40=J40,G40=K40),5*I40,IF(SIGN(F40-G40)=SIGN(J40-K40),3*I40,0)))</f>
        <v/>
      </c>
    </row>
    <row r="41">
      <c r="A41" s="12" t="n">
        <v>39</v>
      </c>
      <c r="B41" s="12" t="inlineStr">
        <is>
          <t>Grupos · F2</t>
        </is>
      </c>
      <c r="C41" s="12" t="inlineStr">
        <is>
          <t>dom 21 jun · 2:00 PM</t>
        </is>
      </c>
      <c r="D41" s="13" t="inlineStr">
        <is>
          <t>Los Angeles Stadium</t>
        </is>
      </c>
      <c r="E41" s="13" t="inlineStr">
        <is>
          <t>Bélgica</t>
        </is>
      </c>
      <c r="F41" s="14" t="n"/>
      <c r="G41" s="14" t="n"/>
      <c r="H41" s="13" t="inlineStr">
        <is>
          <t>Irán</t>
        </is>
      </c>
      <c r="I41" s="12" t="n">
        <v>1</v>
      </c>
      <c r="J41" s="15" t="n"/>
      <c r="K41" s="15" t="n"/>
      <c r="L41" s="16">
        <f>IF(OR(F41="",G41="",J41="",K41=""),"",IF(AND(F41=J41,G41=K41),5*I41,IF(SIGN(F41-G41)=SIGN(J41-K41),3*I41,0)))</f>
        <v/>
      </c>
    </row>
    <row r="42">
      <c r="A42" s="12" t="n">
        <v>37</v>
      </c>
      <c r="B42" s="12" t="inlineStr">
        <is>
          <t>Grupos · F2</t>
        </is>
      </c>
      <c r="C42" s="12" t="inlineStr">
        <is>
          <t>dom 21 jun · 5:00 PM</t>
        </is>
      </c>
      <c r="D42" s="13" t="inlineStr">
        <is>
          <t>Miami Stadium</t>
        </is>
      </c>
      <c r="E42" s="13" t="inlineStr">
        <is>
          <t>Uruguay</t>
        </is>
      </c>
      <c r="F42" s="14" t="n"/>
      <c r="G42" s="14" t="n"/>
      <c r="H42" s="13" t="inlineStr">
        <is>
          <t>Cabo Verde</t>
        </is>
      </c>
      <c r="I42" s="12" t="n">
        <v>1</v>
      </c>
      <c r="J42" s="15" t="n"/>
      <c r="K42" s="15" t="n"/>
      <c r="L42" s="16">
        <f>IF(OR(F42="",G42="",J42="",K42=""),"",IF(AND(F42=J42,G42=K42),5*I42,IF(SIGN(F42-G42)=SIGN(J42-K42),3*I42,0)))</f>
        <v/>
      </c>
    </row>
    <row r="43">
      <c r="A43" s="12" t="n">
        <v>40</v>
      </c>
      <c r="B43" s="12" t="inlineStr">
        <is>
          <t>Grupos · F2</t>
        </is>
      </c>
      <c r="C43" s="12" t="inlineStr">
        <is>
          <t>dom 21 jun · 8:00 PM</t>
        </is>
      </c>
      <c r="D43" s="13" t="inlineStr">
        <is>
          <t>BC Place Vancouver</t>
        </is>
      </c>
      <c r="E43" s="13" t="inlineStr">
        <is>
          <t>Nueva Zelanda</t>
        </is>
      </c>
      <c r="F43" s="14" t="n"/>
      <c r="G43" s="14" t="n"/>
      <c r="H43" s="13" t="inlineStr">
        <is>
          <t>Egipto</t>
        </is>
      </c>
      <c r="I43" s="12" t="n">
        <v>1</v>
      </c>
      <c r="J43" s="15" t="n"/>
      <c r="K43" s="15" t="n"/>
      <c r="L43" s="16">
        <f>IF(OR(F43="",G43="",J43="",K43=""),"",IF(AND(F43=J43,G43=K43),5*I43,IF(SIGN(F43-G43)=SIGN(J43-K43),3*I43,0)))</f>
        <v/>
      </c>
    </row>
    <row r="44">
      <c r="A44" s="12" t="n">
        <v>43</v>
      </c>
      <c r="B44" s="12" t="inlineStr">
        <is>
          <t>Grupos · F2</t>
        </is>
      </c>
      <c r="C44" s="12" t="inlineStr">
        <is>
          <t>lun 22 jun · 12:00 PM</t>
        </is>
      </c>
      <c r="D44" s="13" t="inlineStr">
        <is>
          <t>Dallas Stadium</t>
        </is>
      </c>
      <c r="E44" s="13" t="inlineStr">
        <is>
          <t>Argentina</t>
        </is>
      </c>
      <c r="F44" s="14" t="n"/>
      <c r="G44" s="14" t="n"/>
      <c r="H44" s="13" t="inlineStr">
        <is>
          <t>Austria</t>
        </is>
      </c>
      <c r="I44" s="12" t="n">
        <v>1</v>
      </c>
      <c r="J44" s="15" t="n"/>
      <c r="K44" s="15" t="n"/>
      <c r="L44" s="16">
        <f>IF(OR(F44="",G44="",J44="",K44=""),"",IF(AND(F44=J44,G44=K44),5*I44,IF(SIGN(F44-G44)=SIGN(J44-K44),3*I44,0)))</f>
        <v/>
      </c>
    </row>
    <row r="45">
      <c r="A45" s="12" t="n">
        <v>42</v>
      </c>
      <c r="B45" s="12" t="inlineStr">
        <is>
          <t>Grupos · F2</t>
        </is>
      </c>
      <c r="C45" s="12" t="inlineStr">
        <is>
          <t>lun 22 jun · 4:00 PM</t>
        </is>
      </c>
      <c r="D45" s="13" t="inlineStr">
        <is>
          <t>Philadelphia Stadium</t>
        </is>
      </c>
      <c r="E45" s="13" t="inlineStr">
        <is>
          <t>Francia</t>
        </is>
      </c>
      <c r="F45" s="14" t="n"/>
      <c r="G45" s="14" t="n"/>
      <c r="H45" s="13" t="inlineStr">
        <is>
          <t>Irak</t>
        </is>
      </c>
      <c r="I45" s="12" t="n">
        <v>1</v>
      </c>
      <c r="J45" s="15" t="n"/>
      <c r="K45" s="15" t="n"/>
      <c r="L45" s="16">
        <f>IF(OR(F45="",G45="",J45="",K45=""),"",IF(AND(F45=J45,G45=K45),5*I45,IF(SIGN(F45-G45)=SIGN(J45-K45),3*I45,0)))</f>
        <v/>
      </c>
    </row>
    <row r="46">
      <c r="A46" s="12" t="n">
        <v>41</v>
      </c>
      <c r="B46" s="12" t="inlineStr">
        <is>
          <t>Grupos · F2</t>
        </is>
      </c>
      <c r="C46" s="12" t="inlineStr">
        <is>
          <t>lun 22 jun · 7:00 PM</t>
        </is>
      </c>
      <c r="D46" s="13" t="inlineStr">
        <is>
          <t>New York/New Jersey Stadium</t>
        </is>
      </c>
      <c r="E46" s="13" t="inlineStr">
        <is>
          <t>Noruega</t>
        </is>
      </c>
      <c r="F46" s="14" t="n"/>
      <c r="G46" s="14" t="n"/>
      <c r="H46" s="13" t="inlineStr">
        <is>
          <t>Senegal</t>
        </is>
      </c>
      <c r="I46" s="12" t="n">
        <v>1</v>
      </c>
      <c r="J46" s="15" t="n"/>
      <c r="K46" s="15" t="n"/>
      <c r="L46" s="16">
        <f>IF(OR(F46="",G46="",J46="",K46=""),"",IF(AND(F46=J46,G46=K46),5*I46,IF(SIGN(F46-G46)=SIGN(J46-K46),3*I46,0)))</f>
        <v/>
      </c>
    </row>
    <row r="47">
      <c r="A47" s="12" t="n">
        <v>44</v>
      </c>
      <c r="B47" s="12" t="inlineStr">
        <is>
          <t>Grupos · F2</t>
        </is>
      </c>
      <c r="C47" s="12" t="inlineStr">
        <is>
          <t>lun 22 jun · 10:00 PM</t>
        </is>
      </c>
      <c r="D47" s="13" t="inlineStr">
        <is>
          <t>San Francisco Bay Area Stadium</t>
        </is>
      </c>
      <c r="E47" s="13" t="inlineStr">
        <is>
          <t>Jordania</t>
        </is>
      </c>
      <c r="F47" s="14" t="n"/>
      <c r="G47" s="14" t="n"/>
      <c r="H47" s="13" t="inlineStr">
        <is>
          <t>Argelia</t>
        </is>
      </c>
      <c r="I47" s="12" t="n">
        <v>1</v>
      </c>
      <c r="J47" s="15" t="n"/>
      <c r="K47" s="15" t="n"/>
      <c r="L47" s="16">
        <f>IF(OR(F47="",G47="",J47="",K47=""),"",IF(AND(F47=J47,G47=K47),5*I47,IF(SIGN(F47-G47)=SIGN(J47-K47),3*I47,0)))</f>
        <v/>
      </c>
    </row>
    <row r="48">
      <c r="A48" s="12" t="n">
        <v>47</v>
      </c>
      <c r="B48" s="12" t="inlineStr">
        <is>
          <t>Grupos · F2</t>
        </is>
      </c>
      <c r="C48" s="12" t="inlineStr">
        <is>
          <t>mar 23 jun · 12:00 PM</t>
        </is>
      </c>
      <c r="D48" s="13" t="inlineStr">
        <is>
          <t>Houston Stadium</t>
        </is>
      </c>
      <c r="E48" s="13" t="inlineStr">
        <is>
          <t>Portugal</t>
        </is>
      </c>
      <c r="F48" s="14" t="n"/>
      <c r="G48" s="14" t="n"/>
      <c r="H48" s="13" t="inlineStr">
        <is>
          <t>Uzbekistán</t>
        </is>
      </c>
      <c r="I48" s="12" t="n">
        <v>1</v>
      </c>
      <c r="J48" s="15" t="n"/>
      <c r="K48" s="15" t="n"/>
      <c r="L48" s="16">
        <f>IF(OR(F48="",G48="",J48="",K48=""),"",IF(AND(F48=J48,G48=K48),5*I48,IF(SIGN(F48-G48)=SIGN(J48-K48),3*I48,0)))</f>
        <v/>
      </c>
    </row>
    <row r="49">
      <c r="A49" s="12" t="n">
        <v>45</v>
      </c>
      <c r="B49" s="12" t="inlineStr">
        <is>
          <t>Grupos · F2</t>
        </is>
      </c>
      <c r="C49" s="12" t="inlineStr">
        <is>
          <t>mar 23 jun · 3:00 PM</t>
        </is>
      </c>
      <c r="D49" s="13" t="inlineStr">
        <is>
          <t>Boston Stadium</t>
        </is>
      </c>
      <c r="E49" s="13" t="inlineStr">
        <is>
          <t>Inglaterra</t>
        </is>
      </c>
      <c r="F49" s="14" t="n"/>
      <c r="G49" s="14" t="n"/>
      <c r="H49" s="13" t="inlineStr">
        <is>
          <t>Ghana</t>
        </is>
      </c>
      <c r="I49" s="12" t="n">
        <v>1</v>
      </c>
      <c r="J49" s="15" t="n"/>
      <c r="K49" s="15" t="n"/>
      <c r="L49" s="16">
        <f>IF(OR(F49="",G49="",J49="",K49=""),"",IF(AND(F49=J49,G49=K49),5*I49,IF(SIGN(F49-G49)=SIGN(J49-K49),3*I49,0)))</f>
        <v/>
      </c>
    </row>
    <row r="50">
      <c r="A50" s="12" t="n">
        <v>46</v>
      </c>
      <c r="B50" s="12" t="inlineStr">
        <is>
          <t>Grupos · F2</t>
        </is>
      </c>
      <c r="C50" s="12" t="inlineStr">
        <is>
          <t>mar 23 jun · 6:00 PM</t>
        </is>
      </c>
      <c r="D50" s="13" t="inlineStr">
        <is>
          <t>Toronto Stadium</t>
        </is>
      </c>
      <c r="E50" s="13" t="inlineStr">
        <is>
          <t>Panamá</t>
        </is>
      </c>
      <c r="F50" s="14" t="n"/>
      <c r="G50" s="14" t="n"/>
      <c r="H50" s="13" t="inlineStr">
        <is>
          <t>Croacia</t>
        </is>
      </c>
      <c r="I50" s="12" t="n">
        <v>1</v>
      </c>
      <c r="J50" s="15" t="n"/>
      <c r="K50" s="15" t="n"/>
      <c r="L50" s="16">
        <f>IF(OR(F50="",G50="",J50="",K50=""),"",IF(AND(F50=J50,G50=K50),5*I50,IF(SIGN(F50-G50)=SIGN(J50-K50),3*I50,0)))</f>
        <v/>
      </c>
    </row>
    <row r="51">
      <c r="A51" s="17" t="n">
        <v>48</v>
      </c>
      <c r="B51" s="17" t="inlineStr">
        <is>
          <t>Grupos · F2</t>
        </is>
      </c>
      <c r="C51" s="17" t="inlineStr">
        <is>
          <t>mar 23 jun · 9:00 PM</t>
        </is>
      </c>
      <c r="D51" s="18" t="inlineStr">
        <is>
          <t>Guadalajara Stadium</t>
        </is>
      </c>
      <c r="E51" s="18" t="inlineStr">
        <is>
          <t>Colombia 🇨🇴</t>
        </is>
      </c>
      <c r="F51" s="14" t="n"/>
      <c r="G51" s="14" t="n"/>
      <c r="H51" s="18" t="inlineStr">
        <is>
          <t>RD Congo</t>
        </is>
      </c>
      <c r="I51" s="17" t="n">
        <v>1</v>
      </c>
      <c r="J51" s="15" t="n"/>
      <c r="K51" s="15" t="n"/>
      <c r="L51" s="16">
        <f>IF(OR(F51="",G51="",J51="",K51=""),"",IF(AND(F51=J51,G51=K51),5*I51,IF(SIGN(F51-G51)=SIGN(J51-K51),3*I51,0)))</f>
        <v/>
      </c>
    </row>
    <row r="52">
      <c r="A52" s="12" t="n">
        <v>51</v>
      </c>
      <c r="B52" s="12" t="inlineStr">
        <is>
          <t>Grupos · F3</t>
        </is>
      </c>
      <c r="C52" s="12" t="inlineStr">
        <is>
          <t>mié 24 jun · 2:00 PM</t>
        </is>
      </c>
      <c r="D52" s="13" t="inlineStr">
        <is>
          <t>BC Place Vancouver</t>
        </is>
      </c>
      <c r="E52" s="13" t="inlineStr">
        <is>
          <t>Suiza</t>
        </is>
      </c>
      <c r="F52" s="14" t="n"/>
      <c r="G52" s="14" t="n"/>
      <c r="H52" s="13" t="inlineStr">
        <is>
          <t>Canadá</t>
        </is>
      </c>
      <c r="I52" s="12" t="n">
        <v>1</v>
      </c>
      <c r="J52" s="15" t="n"/>
      <c r="K52" s="15" t="n"/>
      <c r="L52" s="16">
        <f>IF(OR(F52="",G52="",J52="",K52=""),"",IF(AND(F52=J52,G52=K52),5*I52,IF(SIGN(F52-G52)=SIGN(J52-K52),3*I52,0)))</f>
        <v/>
      </c>
    </row>
    <row r="53">
      <c r="A53" s="12" t="n">
        <v>52</v>
      </c>
      <c r="B53" s="12" t="inlineStr">
        <is>
          <t>Grupos · F3</t>
        </is>
      </c>
      <c r="C53" s="12" t="inlineStr">
        <is>
          <t>mié 24 jun · 2:00 PM</t>
        </is>
      </c>
      <c r="D53" s="13" t="inlineStr">
        <is>
          <t>Seattle Stadium</t>
        </is>
      </c>
      <c r="E53" s="13" t="inlineStr">
        <is>
          <t>Bosnia y Herzegovina</t>
        </is>
      </c>
      <c r="F53" s="14" t="n"/>
      <c r="G53" s="14" t="n"/>
      <c r="H53" s="13" t="inlineStr">
        <is>
          <t>Catar</t>
        </is>
      </c>
      <c r="I53" s="12" t="n">
        <v>1</v>
      </c>
      <c r="J53" s="15" t="n"/>
      <c r="K53" s="15" t="n"/>
      <c r="L53" s="16">
        <f>IF(OR(F53="",G53="",J53="",K53=""),"",IF(AND(F53=J53,G53=K53),5*I53,IF(SIGN(F53-G53)=SIGN(J53-K53),3*I53,0)))</f>
        <v/>
      </c>
    </row>
    <row r="54">
      <c r="A54" s="12" t="n">
        <v>49</v>
      </c>
      <c r="B54" s="12" t="inlineStr">
        <is>
          <t>Grupos · F3</t>
        </is>
      </c>
      <c r="C54" s="12" t="inlineStr">
        <is>
          <t>mié 24 jun · 5:00 PM</t>
        </is>
      </c>
      <c r="D54" s="13" t="inlineStr">
        <is>
          <t>Miami Stadium</t>
        </is>
      </c>
      <c r="E54" s="13" t="inlineStr">
        <is>
          <t>Escocia</t>
        </is>
      </c>
      <c r="F54" s="14" t="n"/>
      <c r="G54" s="14" t="n"/>
      <c r="H54" s="13" t="inlineStr">
        <is>
          <t>Brasil</t>
        </is>
      </c>
      <c r="I54" s="12" t="n">
        <v>1</v>
      </c>
      <c r="J54" s="15" t="n"/>
      <c r="K54" s="15" t="n"/>
      <c r="L54" s="16">
        <f>IF(OR(F54="",G54="",J54="",K54=""),"",IF(AND(F54=J54,G54=K54),5*I54,IF(SIGN(F54-G54)=SIGN(J54-K54),3*I54,0)))</f>
        <v/>
      </c>
    </row>
    <row r="55">
      <c r="A55" s="12" t="n">
        <v>50</v>
      </c>
      <c r="B55" s="12" t="inlineStr">
        <is>
          <t>Grupos · F3</t>
        </is>
      </c>
      <c r="C55" s="12" t="inlineStr">
        <is>
          <t>mié 24 jun · 5:00 PM</t>
        </is>
      </c>
      <c r="D55" s="13" t="inlineStr">
        <is>
          <t>Atlanta Stadium</t>
        </is>
      </c>
      <c r="E55" s="13" t="inlineStr">
        <is>
          <t>Marruecos</t>
        </is>
      </c>
      <c r="F55" s="14" t="n"/>
      <c r="G55" s="14" t="n"/>
      <c r="H55" s="13" t="inlineStr">
        <is>
          <t>Haití</t>
        </is>
      </c>
      <c r="I55" s="12" t="n">
        <v>1</v>
      </c>
      <c r="J55" s="15" t="n"/>
      <c r="K55" s="15" t="n"/>
      <c r="L55" s="16">
        <f>IF(OR(F55="",G55="",J55="",K55=""),"",IF(AND(F55=J55,G55=K55),5*I55,IF(SIGN(F55-G55)=SIGN(J55-K55),3*I55,0)))</f>
        <v/>
      </c>
    </row>
    <row r="56">
      <c r="A56" s="12" t="n">
        <v>53</v>
      </c>
      <c r="B56" s="12" t="inlineStr">
        <is>
          <t>Grupos · F3</t>
        </is>
      </c>
      <c r="C56" s="12" t="inlineStr">
        <is>
          <t>mié 24 jun · 8:00 PM</t>
        </is>
      </c>
      <c r="D56" s="13" t="inlineStr">
        <is>
          <t>Mexico City Stadium</t>
        </is>
      </c>
      <c r="E56" s="13" t="inlineStr">
        <is>
          <t>Chequia</t>
        </is>
      </c>
      <c r="F56" s="14" t="n"/>
      <c r="G56" s="14" t="n"/>
      <c r="H56" s="13" t="inlineStr">
        <is>
          <t>México</t>
        </is>
      </c>
      <c r="I56" s="12" t="n">
        <v>1</v>
      </c>
      <c r="J56" s="15" t="n"/>
      <c r="K56" s="15" t="n"/>
      <c r="L56" s="16">
        <f>IF(OR(F56="",G56="",J56="",K56=""),"",IF(AND(F56=J56,G56=K56),5*I56,IF(SIGN(F56-G56)=SIGN(J56-K56),3*I56,0)))</f>
        <v/>
      </c>
    </row>
    <row r="57">
      <c r="A57" s="12" t="n">
        <v>54</v>
      </c>
      <c r="B57" s="12" t="inlineStr">
        <is>
          <t>Grupos · F3</t>
        </is>
      </c>
      <c r="C57" s="12" t="inlineStr">
        <is>
          <t>mié 24 jun · 8:00 PM</t>
        </is>
      </c>
      <c r="D57" s="13" t="inlineStr">
        <is>
          <t>Monterrey Stadium</t>
        </is>
      </c>
      <c r="E57" s="13" t="inlineStr">
        <is>
          <t>Sudáfrica</t>
        </is>
      </c>
      <c r="F57" s="14" t="n"/>
      <c r="G57" s="14" t="n"/>
      <c r="H57" s="13" t="inlineStr">
        <is>
          <t>Corea del Sur</t>
        </is>
      </c>
      <c r="I57" s="12" t="n">
        <v>1</v>
      </c>
      <c r="J57" s="15" t="n"/>
      <c r="K57" s="15" t="n"/>
      <c r="L57" s="16">
        <f>IF(OR(F57="",G57="",J57="",K57=""),"",IF(AND(F57=J57,G57=K57),5*I57,IF(SIGN(F57-G57)=SIGN(J57-K57),3*I57,0)))</f>
        <v/>
      </c>
    </row>
    <row r="58">
      <c r="A58" s="12" t="n">
        <v>55</v>
      </c>
      <c r="B58" s="12" t="inlineStr">
        <is>
          <t>Grupos · F3</t>
        </is>
      </c>
      <c r="C58" s="12" t="inlineStr">
        <is>
          <t>jue 25 jun · 3:00 PM</t>
        </is>
      </c>
      <c r="D58" s="13" t="inlineStr">
        <is>
          <t>Philadelphia Stadium</t>
        </is>
      </c>
      <c r="E58" s="13" t="inlineStr">
        <is>
          <t>Curazao</t>
        </is>
      </c>
      <c r="F58" s="14" t="n"/>
      <c r="G58" s="14" t="n"/>
      <c r="H58" s="13" t="inlineStr">
        <is>
          <t>Costa de Marfil</t>
        </is>
      </c>
      <c r="I58" s="12" t="n">
        <v>1</v>
      </c>
      <c r="J58" s="15" t="n"/>
      <c r="K58" s="15" t="n"/>
      <c r="L58" s="16">
        <f>IF(OR(F58="",G58="",J58="",K58=""),"",IF(AND(F58=J58,G58=K58),5*I58,IF(SIGN(F58-G58)=SIGN(J58-K58),3*I58,0)))</f>
        <v/>
      </c>
    </row>
    <row r="59">
      <c r="A59" s="12" t="n">
        <v>56</v>
      </c>
      <c r="B59" s="12" t="inlineStr">
        <is>
          <t>Grupos · F3</t>
        </is>
      </c>
      <c r="C59" s="12" t="inlineStr">
        <is>
          <t>jue 25 jun · 3:00 PM</t>
        </is>
      </c>
      <c r="D59" s="13" t="inlineStr">
        <is>
          <t>New York/New Jersey Stadium</t>
        </is>
      </c>
      <c r="E59" s="13" t="inlineStr">
        <is>
          <t>Ecuador</t>
        </is>
      </c>
      <c r="F59" s="14" t="n"/>
      <c r="G59" s="14" t="n"/>
      <c r="H59" s="13" t="inlineStr">
        <is>
          <t>Alemania</t>
        </is>
      </c>
      <c r="I59" s="12" t="n">
        <v>1</v>
      </c>
      <c r="J59" s="15" t="n"/>
      <c r="K59" s="15" t="n"/>
      <c r="L59" s="16">
        <f>IF(OR(F59="",G59="",J59="",K59=""),"",IF(AND(F59=J59,G59=K59),5*I59,IF(SIGN(F59-G59)=SIGN(J59-K59),3*I59,0)))</f>
        <v/>
      </c>
    </row>
    <row r="60">
      <c r="A60" s="12" t="n">
        <v>57</v>
      </c>
      <c r="B60" s="12" t="inlineStr">
        <is>
          <t>Grupos · F3</t>
        </is>
      </c>
      <c r="C60" s="12" t="inlineStr">
        <is>
          <t>jue 25 jun · 6:00 PM</t>
        </is>
      </c>
      <c r="D60" s="13" t="inlineStr">
        <is>
          <t>Dallas Stadium</t>
        </is>
      </c>
      <c r="E60" s="13" t="inlineStr">
        <is>
          <t>Japón</t>
        </is>
      </c>
      <c r="F60" s="14" t="n"/>
      <c r="G60" s="14" t="n"/>
      <c r="H60" s="13" t="inlineStr">
        <is>
          <t>Suecia</t>
        </is>
      </c>
      <c r="I60" s="12" t="n">
        <v>1</v>
      </c>
      <c r="J60" s="15" t="n"/>
      <c r="K60" s="15" t="n"/>
      <c r="L60" s="16">
        <f>IF(OR(F60="",G60="",J60="",K60=""),"",IF(AND(F60=J60,G60=K60),5*I60,IF(SIGN(F60-G60)=SIGN(J60-K60),3*I60,0)))</f>
        <v/>
      </c>
    </row>
    <row r="61">
      <c r="A61" s="12" t="n">
        <v>58</v>
      </c>
      <c r="B61" s="12" t="inlineStr">
        <is>
          <t>Grupos · F3</t>
        </is>
      </c>
      <c r="C61" s="12" t="inlineStr">
        <is>
          <t>jue 25 jun · 6:00 PM</t>
        </is>
      </c>
      <c r="D61" s="13" t="inlineStr">
        <is>
          <t>Kansas City Stadium</t>
        </is>
      </c>
      <c r="E61" s="13" t="inlineStr">
        <is>
          <t>Túnez</t>
        </is>
      </c>
      <c r="F61" s="14" t="n"/>
      <c r="G61" s="14" t="n"/>
      <c r="H61" s="13" t="inlineStr">
        <is>
          <t>Países Bajos</t>
        </is>
      </c>
      <c r="I61" s="12" t="n">
        <v>1</v>
      </c>
      <c r="J61" s="15" t="n"/>
      <c r="K61" s="15" t="n"/>
      <c r="L61" s="16">
        <f>IF(OR(F61="",G61="",J61="",K61=""),"",IF(AND(F61=J61,G61=K61),5*I61,IF(SIGN(F61-G61)=SIGN(J61-K61),3*I61,0)))</f>
        <v/>
      </c>
    </row>
    <row r="62">
      <c r="A62" s="12" t="n">
        <v>59</v>
      </c>
      <c r="B62" s="12" t="inlineStr">
        <is>
          <t>Grupos · F3</t>
        </is>
      </c>
      <c r="C62" s="12" t="inlineStr">
        <is>
          <t>jue 25 jun · 9:00 PM</t>
        </is>
      </c>
      <c r="D62" s="13" t="inlineStr">
        <is>
          <t>Los Angeles Stadium</t>
        </is>
      </c>
      <c r="E62" s="13" t="inlineStr">
        <is>
          <t>Turquía</t>
        </is>
      </c>
      <c r="F62" s="14" t="n"/>
      <c r="G62" s="14" t="n"/>
      <c r="H62" s="13" t="inlineStr">
        <is>
          <t>Estados Unidos</t>
        </is>
      </c>
      <c r="I62" s="12" t="n">
        <v>1</v>
      </c>
      <c r="J62" s="15" t="n"/>
      <c r="K62" s="15" t="n"/>
      <c r="L62" s="16">
        <f>IF(OR(F62="",G62="",J62="",K62=""),"",IF(AND(F62=J62,G62=K62),5*I62,IF(SIGN(F62-G62)=SIGN(J62-K62),3*I62,0)))</f>
        <v/>
      </c>
    </row>
    <row r="63">
      <c r="A63" s="12" t="n">
        <v>60</v>
      </c>
      <c r="B63" s="12" t="inlineStr">
        <is>
          <t>Grupos · F3</t>
        </is>
      </c>
      <c r="C63" s="12" t="inlineStr">
        <is>
          <t>jue 25 jun · 9:00 PM</t>
        </is>
      </c>
      <c r="D63" s="13" t="inlineStr">
        <is>
          <t>San Francisco Bay Area Stadium</t>
        </is>
      </c>
      <c r="E63" s="13" t="inlineStr">
        <is>
          <t>Paraguay</t>
        </is>
      </c>
      <c r="F63" s="14" t="n"/>
      <c r="G63" s="14" t="n"/>
      <c r="H63" s="13" t="inlineStr">
        <is>
          <t>Australia</t>
        </is>
      </c>
      <c r="I63" s="12" t="n">
        <v>1</v>
      </c>
      <c r="J63" s="15" t="n"/>
      <c r="K63" s="15" t="n"/>
      <c r="L63" s="16">
        <f>IF(OR(F63="",G63="",J63="",K63=""),"",IF(AND(F63=J63,G63=K63),5*I63,IF(SIGN(F63-G63)=SIGN(J63-K63),3*I63,0)))</f>
        <v/>
      </c>
    </row>
    <row r="64">
      <c r="A64" s="12" t="n">
        <v>61</v>
      </c>
      <c r="B64" s="12" t="inlineStr">
        <is>
          <t>Grupos · F3</t>
        </is>
      </c>
      <c r="C64" s="12" t="inlineStr">
        <is>
          <t>vie 26 jun · 2:00 PM</t>
        </is>
      </c>
      <c r="D64" s="13" t="inlineStr">
        <is>
          <t>Boston Stadium</t>
        </is>
      </c>
      <c r="E64" s="13" t="inlineStr">
        <is>
          <t>Noruega</t>
        </is>
      </c>
      <c r="F64" s="14" t="n"/>
      <c r="G64" s="14" t="n"/>
      <c r="H64" s="13" t="inlineStr">
        <is>
          <t>Francia</t>
        </is>
      </c>
      <c r="I64" s="12" t="n">
        <v>1</v>
      </c>
      <c r="J64" s="15" t="n"/>
      <c r="K64" s="15" t="n"/>
      <c r="L64" s="16">
        <f>IF(OR(F64="",G64="",J64="",K64=""),"",IF(AND(F64=J64,G64=K64),5*I64,IF(SIGN(F64-G64)=SIGN(J64-K64),3*I64,0)))</f>
        <v/>
      </c>
    </row>
    <row r="65">
      <c r="A65" s="12" t="n">
        <v>62</v>
      </c>
      <c r="B65" s="12" t="inlineStr">
        <is>
          <t>Grupos · F3</t>
        </is>
      </c>
      <c r="C65" s="12" t="inlineStr">
        <is>
          <t>vie 26 jun · 2:00 PM</t>
        </is>
      </c>
      <c r="D65" s="13" t="inlineStr">
        <is>
          <t>Toronto Stadium</t>
        </is>
      </c>
      <c r="E65" s="13" t="inlineStr">
        <is>
          <t>Senegal</t>
        </is>
      </c>
      <c r="F65" s="14" t="n"/>
      <c r="G65" s="14" t="n"/>
      <c r="H65" s="13" t="inlineStr">
        <is>
          <t>Irak</t>
        </is>
      </c>
      <c r="I65" s="12" t="n">
        <v>1</v>
      </c>
      <c r="J65" s="15" t="n"/>
      <c r="K65" s="15" t="n"/>
      <c r="L65" s="16">
        <f>IF(OR(F65="",G65="",J65="",K65=""),"",IF(AND(F65=J65,G65=K65),5*I65,IF(SIGN(F65-G65)=SIGN(J65-K65),3*I65,0)))</f>
        <v/>
      </c>
    </row>
    <row r="66">
      <c r="A66" s="12" t="n">
        <v>65</v>
      </c>
      <c r="B66" s="12" t="inlineStr">
        <is>
          <t>Grupos · F3</t>
        </is>
      </c>
      <c r="C66" s="12" t="inlineStr">
        <is>
          <t>vie 26 jun · 7:00 PM</t>
        </is>
      </c>
      <c r="D66" s="13" t="inlineStr">
        <is>
          <t>Houston Stadium</t>
        </is>
      </c>
      <c r="E66" s="13" t="inlineStr">
        <is>
          <t>Cabo Verde</t>
        </is>
      </c>
      <c r="F66" s="14" t="n"/>
      <c r="G66" s="14" t="n"/>
      <c r="H66" s="13" t="inlineStr">
        <is>
          <t>Arabia Saudita</t>
        </is>
      </c>
      <c r="I66" s="12" t="n">
        <v>1</v>
      </c>
      <c r="J66" s="15" t="n"/>
      <c r="K66" s="15" t="n"/>
      <c r="L66" s="16">
        <f>IF(OR(F66="",G66="",J66="",K66=""),"",IF(AND(F66=J66,G66=K66),5*I66,IF(SIGN(F66-G66)=SIGN(J66-K66),3*I66,0)))</f>
        <v/>
      </c>
    </row>
    <row r="67">
      <c r="A67" s="12" t="n">
        <v>66</v>
      </c>
      <c r="B67" s="12" t="inlineStr">
        <is>
          <t>Grupos · F3</t>
        </is>
      </c>
      <c r="C67" s="12" t="inlineStr">
        <is>
          <t>vie 26 jun · 7:00 PM</t>
        </is>
      </c>
      <c r="D67" s="13" t="inlineStr">
        <is>
          <t>Guadalajara Stadium</t>
        </is>
      </c>
      <c r="E67" s="13" t="inlineStr">
        <is>
          <t>Uruguay</t>
        </is>
      </c>
      <c r="F67" s="14" t="n"/>
      <c r="G67" s="14" t="n"/>
      <c r="H67" s="13" t="inlineStr">
        <is>
          <t>España</t>
        </is>
      </c>
      <c r="I67" s="12" t="n">
        <v>1</v>
      </c>
      <c r="J67" s="15" t="n"/>
      <c r="K67" s="15" t="n"/>
      <c r="L67" s="16">
        <f>IF(OR(F67="",G67="",J67="",K67=""),"",IF(AND(F67=J67,G67=K67),5*I67,IF(SIGN(F67-G67)=SIGN(J67-K67),3*I67,0)))</f>
        <v/>
      </c>
    </row>
    <row r="68">
      <c r="A68" s="12" t="n">
        <v>63</v>
      </c>
      <c r="B68" s="12" t="inlineStr">
        <is>
          <t>Grupos · F3</t>
        </is>
      </c>
      <c r="C68" s="12" t="inlineStr">
        <is>
          <t>vie 26 jun · 10:00 PM</t>
        </is>
      </c>
      <c r="D68" s="13" t="inlineStr">
        <is>
          <t>Seattle Stadium</t>
        </is>
      </c>
      <c r="E68" s="13" t="inlineStr">
        <is>
          <t>Egipto</t>
        </is>
      </c>
      <c r="F68" s="14" t="n"/>
      <c r="G68" s="14" t="n"/>
      <c r="H68" s="13" t="inlineStr">
        <is>
          <t>Irán</t>
        </is>
      </c>
      <c r="I68" s="12" t="n">
        <v>1</v>
      </c>
      <c r="J68" s="15" t="n"/>
      <c r="K68" s="15" t="n"/>
      <c r="L68" s="16">
        <f>IF(OR(F68="",G68="",J68="",K68=""),"",IF(AND(F68=J68,G68=K68),5*I68,IF(SIGN(F68-G68)=SIGN(J68-K68),3*I68,0)))</f>
        <v/>
      </c>
    </row>
    <row r="69">
      <c r="A69" s="12" t="n">
        <v>64</v>
      </c>
      <c r="B69" s="12" t="inlineStr">
        <is>
          <t>Grupos · F3</t>
        </is>
      </c>
      <c r="C69" s="12" t="inlineStr">
        <is>
          <t>vie 26 jun · 10:00 PM</t>
        </is>
      </c>
      <c r="D69" s="13" t="inlineStr">
        <is>
          <t>BC Place Vancouver</t>
        </is>
      </c>
      <c r="E69" s="13" t="inlineStr">
        <is>
          <t>Nueva Zelanda</t>
        </is>
      </c>
      <c r="F69" s="14" t="n"/>
      <c r="G69" s="14" t="n"/>
      <c r="H69" s="13" t="inlineStr">
        <is>
          <t>Bélgica</t>
        </is>
      </c>
      <c r="I69" s="12" t="n">
        <v>1</v>
      </c>
      <c r="J69" s="15" t="n"/>
      <c r="K69" s="15" t="n"/>
      <c r="L69" s="16">
        <f>IF(OR(F69="",G69="",J69="",K69=""),"",IF(AND(F69=J69,G69=K69),5*I69,IF(SIGN(F69-G69)=SIGN(J69-K69),3*I69,0)))</f>
        <v/>
      </c>
    </row>
    <row r="70">
      <c r="A70" s="12" t="n">
        <v>67</v>
      </c>
      <c r="B70" s="12" t="inlineStr">
        <is>
          <t>Grupos · F3</t>
        </is>
      </c>
      <c r="C70" s="12" t="inlineStr">
        <is>
          <t>sáb 27 jun · 4:00 PM</t>
        </is>
      </c>
      <c r="D70" s="13" t="inlineStr">
        <is>
          <t>New York/New Jersey Stadium</t>
        </is>
      </c>
      <c r="E70" s="13" t="inlineStr">
        <is>
          <t>Panamá</t>
        </is>
      </c>
      <c r="F70" s="14" t="n"/>
      <c r="G70" s="14" t="n"/>
      <c r="H70" s="13" t="inlineStr">
        <is>
          <t>Inglaterra</t>
        </is>
      </c>
      <c r="I70" s="12" t="n">
        <v>1</v>
      </c>
      <c r="J70" s="15" t="n"/>
      <c r="K70" s="15" t="n"/>
      <c r="L70" s="16">
        <f>IF(OR(F70="",G70="",J70="",K70=""),"",IF(AND(F70=J70,G70=K70),5*I70,IF(SIGN(F70-G70)=SIGN(J70-K70),3*I70,0)))</f>
        <v/>
      </c>
    </row>
    <row r="71">
      <c r="A71" s="12" t="n">
        <v>68</v>
      </c>
      <c r="B71" s="12" t="inlineStr">
        <is>
          <t>Grupos · F3</t>
        </is>
      </c>
      <c r="C71" s="12" t="inlineStr">
        <is>
          <t>sáb 27 jun · 4:00 PM</t>
        </is>
      </c>
      <c r="D71" s="13" t="inlineStr">
        <is>
          <t>Philadelphia Stadium</t>
        </is>
      </c>
      <c r="E71" s="13" t="inlineStr">
        <is>
          <t>Croacia</t>
        </is>
      </c>
      <c r="F71" s="14" t="n"/>
      <c r="G71" s="14" t="n"/>
      <c r="H71" s="13" t="inlineStr">
        <is>
          <t>Ghana</t>
        </is>
      </c>
      <c r="I71" s="12" t="n">
        <v>1</v>
      </c>
      <c r="J71" s="15" t="n"/>
      <c r="K71" s="15" t="n"/>
      <c r="L71" s="16">
        <f>IF(OR(F71="",G71="",J71="",K71=""),"",IF(AND(F71=J71,G71=K71),5*I71,IF(SIGN(F71-G71)=SIGN(J71-K71),3*I71,0)))</f>
        <v/>
      </c>
    </row>
    <row r="72">
      <c r="A72" s="17" t="n">
        <v>71</v>
      </c>
      <c r="B72" s="17" t="inlineStr">
        <is>
          <t>Grupos · F3</t>
        </is>
      </c>
      <c r="C72" s="17" t="inlineStr">
        <is>
          <t>sáb 27 jun · 6:30 PM</t>
        </is>
      </c>
      <c r="D72" s="18" t="inlineStr">
        <is>
          <t>Miami Stadium</t>
        </is>
      </c>
      <c r="E72" s="18" t="inlineStr">
        <is>
          <t>Colombia 🇨🇴</t>
        </is>
      </c>
      <c r="F72" s="14" t="n"/>
      <c r="G72" s="14" t="n"/>
      <c r="H72" s="18" t="inlineStr">
        <is>
          <t>Portugal</t>
        </is>
      </c>
      <c r="I72" s="17" t="n">
        <v>1</v>
      </c>
      <c r="J72" s="15" t="n"/>
      <c r="K72" s="15" t="n"/>
      <c r="L72" s="16">
        <f>IF(OR(F72="",G72="",J72="",K72=""),"",IF(AND(F72=J72,G72=K72),5*I72,IF(SIGN(F72-G72)=SIGN(J72-K72),3*I72,0)))</f>
        <v/>
      </c>
    </row>
    <row r="73">
      <c r="A73" s="12" t="n">
        <v>72</v>
      </c>
      <c r="B73" s="12" t="inlineStr">
        <is>
          <t>Grupos · F3</t>
        </is>
      </c>
      <c r="C73" s="12" t="inlineStr">
        <is>
          <t>sáb 27 jun · 6:30 PM</t>
        </is>
      </c>
      <c r="D73" s="13" t="inlineStr">
        <is>
          <t>Atlanta Stadium</t>
        </is>
      </c>
      <c r="E73" s="13" t="inlineStr">
        <is>
          <t>RD Congo</t>
        </is>
      </c>
      <c r="F73" s="14" t="n"/>
      <c r="G73" s="14" t="n"/>
      <c r="H73" s="13" t="inlineStr">
        <is>
          <t>Uzbekistán</t>
        </is>
      </c>
      <c r="I73" s="12" t="n">
        <v>1</v>
      </c>
      <c r="J73" s="15" t="n"/>
      <c r="K73" s="15" t="n"/>
      <c r="L73" s="16">
        <f>IF(OR(F73="",G73="",J73="",K73=""),"",IF(AND(F73=J73,G73=K73),5*I73,IF(SIGN(F73-G73)=SIGN(J73-K73),3*I73,0)))</f>
        <v/>
      </c>
    </row>
    <row r="74">
      <c r="A74" s="12" t="n">
        <v>69</v>
      </c>
      <c r="B74" s="12" t="inlineStr">
        <is>
          <t>Grupos · F3</t>
        </is>
      </c>
      <c r="C74" s="12" t="inlineStr">
        <is>
          <t>sáb 27 jun · 9:00 PM</t>
        </is>
      </c>
      <c r="D74" s="13" t="inlineStr">
        <is>
          <t>Kansas City Stadium</t>
        </is>
      </c>
      <c r="E74" s="13" t="inlineStr">
        <is>
          <t>Argelia</t>
        </is>
      </c>
      <c r="F74" s="14" t="n"/>
      <c r="G74" s="14" t="n"/>
      <c r="H74" s="13" t="inlineStr">
        <is>
          <t>Austria</t>
        </is>
      </c>
      <c r="I74" s="12" t="n">
        <v>1</v>
      </c>
      <c r="J74" s="15" t="n"/>
      <c r="K74" s="15" t="n"/>
      <c r="L74" s="16">
        <f>IF(OR(F74="",G74="",J74="",K74=""),"",IF(AND(F74=J74,G74=K74),5*I74,IF(SIGN(F74-G74)=SIGN(J74-K74),3*I74,0)))</f>
        <v/>
      </c>
    </row>
    <row r="75">
      <c r="A75" s="12" t="n">
        <v>70</v>
      </c>
      <c r="B75" s="12" t="inlineStr">
        <is>
          <t>Grupos · F3</t>
        </is>
      </c>
      <c r="C75" s="12" t="inlineStr">
        <is>
          <t>sáb 27 jun · 9:00 PM</t>
        </is>
      </c>
      <c r="D75" s="13" t="inlineStr">
        <is>
          <t>Dallas Stadium</t>
        </is>
      </c>
      <c r="E75" s="13" t="inlineStr">
        <is>
          <t>Jordania</t>
        </is>
      </c>
      <c r="F75" s="14" t="n"/>
      <c r="G75" s="14" t="n"/>
      <c r="H75" s="13" t="inlineStr">
        <is>
          <t>Argentina</t>
        </is>
      </c>
      <c r="I75" s="12" t="n">
        <v>1</v>
      </c>
      <c r="J75" s="15" t="n"/>
      <c r="K75" s="15" t="n"/>
      <c r="L75" s="16">
        <f>IF(OR(F75="",G75="",J75="",K75=""),"",IF(AND(F75=J75,G75=K75),5*I75,IF(SIGN(F75-G75)=SIGN(J75-K75),3*I75,0)))</f>
        <v/>
      </c>
    </row>
    <row r="76">
      <c r="A76" s="12" t="n">
        <v>73</v>
      </c>
      <c r="B76" s="12" t="inlineStr">
        <is>
          <t>16avos</t>
        </is>
      </c>
      <c r="C76" s="12" t="inlineStr">
        <is>
          <t>dom 28 jun · 2:00 PM</t>
        </is>
      </c>
      <c r="D76" s="13" t="inlineStr">
        <is>
          <t>Los Angeles Stadium</t>
        </is>
      </c>
      <c r="E76" s="13" t="inlineStr">
        <is>
          <t>2º Grupo A</t>
        </is>
      </c>
      <c r="F76" s="14" t="n"/>
      <c r="G76" s="14" t="n"/>
      <c r="H76" s="13" t="inlineStr">
        <is>
          <t>2º Grupo B</t>
        </is>
      </c>
      <c r="I76" s="12" t="n">
        <v>2</v>
      </c>
      <c r="J76" s="15" t="n"/>
      <c r="K76" s="15" t="n"/>
      <c r="L76" s="16">
        <f>IF(OR(F76="",G76="",J76="",K76=""),"",IF(AND(F76=J76,G76=K76),5*I76,IF(SIGN(F76-G76)=SIGN(J76-K76),3*I76,0)))</f>
        <v/>
      </c>
    </row>
    <row r="77">
      <c r="A77" s="12" t="n">
        <v>76</v>
      </c>
      <c r="B77" s="12" t="inlineStr">
        <is>
          <t>16avos</t>
        </is>
      </c>
      <c r="C77" s="12" t="inlineStr">
        <is>
          <t>lun 29 jun · 12:00 PM</t>
        </is>
      </c>
      <c r="D77" s="13" t="inlineStr">
        <is>
          <t>Houston Stadium</t>
        </is>
      </c>
      <c r="E77" s="13" t="inlineStr">
        <is>
          <t>1º Grupo C</t>
        </is>
      </c>
      <c r="F77" s="14" t="n"/>
      <c r="G77" s="14" t="n"/>
      <c r="H77" s="13" t="inlineStr">
        <is>
          <t>2º Grupo F</t>
        </is>
      </c>
      <c r="I77" s="12" t="n">
        <v>2</v>
      </c>
      <c r="J77" s="15" t="n"/>
      <c r="K77" s="15" t="n"/>
      <c r="L77" s="16">
        <f>IF(OR(F77="",G77="",J77="",K77=""),"",IF(AND(F77=J77,G77=K77),5*I77,IF(SIGN(F77-G77)=SIGN(J77-K77),3*I77,0)))</f>
        <v/>
      </c>
    </row>
    <row r="78">
      <c r="A78" s="12" t="n">
        <v>74</v>
      </c>
      <c r="B78" s="12" t="inlineStr">
        <is>
          <t>16avos</t>
        </is>
      </c>
      <c r="C78" s="12" t="inlineStr">
        <is>
          <t>lun 29 jun · 3:30 PM</t>
        </is>
      </c>
      <c r="D78" s="13" t="inlineStr">
        <is>
          <t>Boston Stadium</t>
        </is>
      </c>
      <c r="E78" s="13" t="inlineStr">
        <is>
          <t>1º Grupo E</t>
        </is>
      </c>
      <c r="F78" s="14" t="n"/>
      <c r="G78" s="14" t="n"/>
      <c r="H78" s="13" t="inlineStr">
        <is>
          <t>3º de A/B/C/D/F</t>
        </is>
      </c>
      <c r="I78" s="12" t="n">
        <v>2</v>
      </c>
      <c r="J78" s="15" t="n"/>
      <c r="K78" s="15" t="n"/>
      <c r="L78" s="16">
        <f>IF(OR(F78="",G78="",J78="",K78=""),"",IF(AND(F78=J78,G78=K78),5*I78,IF(SIGN(F78-G78)=SIGN(J78-K78),3*I78,0)))</f>
        <v/>
      </c>
    </row>
    <row r="79">
      <c r="A79" s="12" t="n">
        <v>75</v>
      </c>
      <c r="B79" s="12" t="inlineStr">
        <is>
          <t>16avos</t>
        </is>
      </c>
      <c r="C79" s="12" t="inlineStr">
        <is>
          <t>lun 29 jun · 8:00 PM</t>
        </is>
      </c>
      <c r="D79" s="13" t="inlineStr">
        <is>
          <t>Monterrey Stadium</t>
        </is>
      </c>
      <c r="E79" s="13" t="inlineStr">
        <is>
          <t>1º Grupo F</t>
        </is>
      </c>
      <c r="F79" s="14" t="n"/>
      <c r="G79" s="14" t="n"/>
      <c r="H79" s="13" t="inlineStr">
        <is>
          <t>2º Grupo C</t>
        </is>
      </c>
      <c r="I79" s="12" t="n">
        <v>2</v>
      </c>
      <c r="J79" s="15" t="n"/>
      <c r="K79" s="15" t="n"/>
      <c r="L79" s="16">
        <f>IF(OR(F79="",G79="",J79="",K79=""),"",IF(AND(F79=J79,G79=K79),5*I79,IF(SIGN(F79-G79)=SIGN(J79-K79),3*I79,0)))</f>
        <v/>
      </c>
    </row>
    <row r="80">
      <c r="A80" s="12" t="n">
        <v>78</v>
      </c>
      <c r="B80" s="12" t="inlineStr">
        <is>
          <t>16avos</t>
        </is>
      </c>
      <c r="C80" s="12" t="inlineStr">
        <is>
          <t>mar 30 jun · 12:00 PM</t>
        </is>
      </c>
      <c r="D80" s="13" t="inlineStr">
        <is>
          <t>Dallas Stadium</t>
        </is>
      </c>
      <c r="E80" s="13" t="inlineStr">
        <is>
          <t>2º Grupo E</t>
        </is>
      </c>
      <c r="F80" s="14" t="n"/>
      <c r="G80" s="14" t="n"/>
      <c r="H80" s="13" t="inlineStr">
        <is>
          <t>2º Grupo I</t>
        </is>
      </c>
      <c r="I80" s="12" t="n">
        <v>2</v>
      </c>
      <c r="J80" s="15" t="n"/>
      <c r="K80" s="15" t="n"/>
      <c r="L80" s="16">
        <f>IF(OR(F80="",G80="",J80="",K80=""),"",IF(AND(F80=J80,G80=K80),5*I80,IF(SIGN(F80-G80)=SIGN(J80-K80),3*I80,0)))</f>
        <v/>
      </c>
    </row>
    <row r="81">
      <c r="A81" s="12" t="n">
        <v>77</v>
      </c>
      <c r="B81" s="12" t="inlineStr">
        <is>
          <t>16avos</t>
        </is>
      </c>
      <c r="C81" s="12" t="inlineStr">
        <is>
          <t>mar 30 jun · 4:00 PM</t>
        </is>
      </c>
      <c r="D81" s="13" t="inlineStr">
        <is>
          <t>New York/New Jersey Stadium</t>
        </is>
      </c>
      <c r="E81" s="13" t="inlineStr">
        <is>
          <t>1º Grupo I</t>
        </is>
      </c>
      <c r="F81" s="14" t="n"/>
      <c r="G81" s="14" t="n"/>
      <c r="H81" s="13" t="inlineStr">
        <is>
          <t>3º de C/D/F/G/H</t>
        </is>
      </c>
      <c r="I81" s="12" t="n">
        <v>2</v>
      </c>
      <c r="J81" s="15" t="n"/>
      <c r="K81" s="15" t="n"/>
      <c r="L81" s="16">
        <f>IF(OR(F81="",G81="",J81="",K81=""),"",IF(AND(F81=J81,G81=K81),5*I81,IF(SIGN(F81-G81)=SIGN(J81-K81),3*I81,0)))</f>
        <v/>
      </c>
    </row>
    <row r="82">
      <c r="A82" s="12" t="n">
        <v>79</v>
      </c>
      <c r="B82" s="12" t="inlineStr">
        <is>
          <t>16avos</t>
        </is>
      </c>
      <c r="C82" s="12" t="inlineStr">
        <is>
          <t>mar 30 jun · 8:00 PM</t>
        </is>
      </c>
      <c r="D82" s="13" t="inlineStr">
        <is>
          <t>Mexico City Stadium</t>
        </is>
      </c>
      <c r="E82" s="13" t="inlineStr">
        <is>
          <t>1º Grupo A</t>
        </is>
      </c>
      <c r="F82" s="14" t="n"/>
      <c r="G82" s="14" t="n"/>
      <c r="H82" s="13" t="inlineStr">
        <is>
          <t>3º de C/E/F/H/I</t>
        </is>
      </c>
      <c r="I82" s="12" t="n">
        <v>2</v>
      </c>
      <c r="J82" s="15" t="n"/>
      <c r="K82" s="15" t="n"/>
      <c r="L82" s="16">
        <f>IF(OR(F82="",G82="",J82="",K82=""),"",IF(AND(F82=J82,G82=K82),5*I82,IF(SIGN(F82-G82)=SIGN(J82-K82),3*I82,0)))</f>
        <v/>
      </c>
    </row>
    <row r="83">
      <c r="A83" s="12" t="n">
        <v>80</v>
      </c>
      <c r="B83" s="12" t="inlineStr">
        <is>
          <t>16avos</t>
        </is>
      </c>
      <c r="C83" s="12" t="inlineStr">
        <is>
          <t>mié 1 jul · 11:00 AM</t>
        </is>
      </c>
      <c r="D83" s="13" t="inlineStr">
        <is>
          <t>Atlanta Stadium</t>
        </is>
      </c>
      <c r="E83" s="13" t="inlineStr">
        <is>
          <t>1º Grupo L</t>
        </is>
      </c>
      <c r="F83" s="14" t="n"/>
      <c r="G83" s="14" t="n"/>
      <c r="H83" s="13" t="inlineStr">
        <is>
          <t>3º de E/H/I/J/K</t>
        </is>
      </c>
      <c r="I83" s="12" t="n">
        <v>2</v>
      </c>
      <c r="J83" s="15" t="n"/>
      <c r="K83" s="15" t="n"/>
      <c r="L83" s="16">
        <f>IF(OR(F83="",G83="",J83="",K83=""),"",IF(AND(F83=J83,G83=K83),5*I83,IF(SIGN(F83-G83)=SIGN(J83-K83),3*I83,0)))</f>
        <v/>
      </c>
    </row>
    <row r="84">
      <c r="A84" s="12" t="n">
        <v>82</v>
      </c>
      <c r="B84" s="12" t="inlineStr">
        <is>
          <t>16avos</t>
        </is>
      </c>
      <c r="C84" s="12" t="inlineStr">
        <is>
          <t>mié 1 jul · 3:00 PM</t>
        </is>
      </c>
      <c r="D84" s="13" t="inlineStr">
        <is>
          <t>Seattle Stadium</t>
        </is>
      </c>
      <c r="E84" s="13" t="inlineStr">
        <is>
          <t>1º Grupo G</t>
        </is>
      </c>
      <c r="F84" s="14" t="n"/>
      <c r="G84" s="14" t="n"/>
      <c r="H84" s="13" t="inlineStr">
        <is>
          <t>3º de A/E/H/I/J</t>
        </is>
      </c>
      <c r="I84" s="12" t="n">
        <v>2</v>
      </c>
      <c r="J84" s="15" t="n"/>
      <c r="K84" s="15" t="n"/>
      <c r="L84" s="16">
        <f>IF(OR(F84="",G84="",J84="",K84=""),"",IF(AND(F84=J84,G84=K84),5*I84,IF(SIGN(F84-G84)=SIGN(J84-K84),3*I84,0)))</f>
        <v/>
      </c>
    </row>
    <row r="85">
      <c r="A85" s="12" t="n">
        <v>81</v>
      </c>
      <c r="B85" s="12" t="inlineStr">
        <is>
          <t>16avos</t>
        </is>
      </c>
      <c r="C85" s="12" t="inlineStr">
        <is>
          <t>mié 1 jul · 7:00 PM</t>
        </is>
      </c>
      <c r="D85" s="13" t="inlineStr">
        <is>
          <t>San Francisco Bay Area Stadium</t>
        </is>
      </c>
      <c r="E85" s="13" t="inlineStr">
        <is>
          <t>1º Grupo D</t>
        </is>
      </c>
      <c r="F85" s="14" t="n"/>
      <c r="G85" s="14" t="n"/>
      <c r="H85" s="13" t="inlineStr">
        <is>
          <t>3º de B/E/F/I/J</t>
        </is>
      </c>
      <c r="I85" s="12" t="n">
        <v>2</v>
      </c>
      <c r="J85" s="15" t="n"/>
      <c r="K85" s="15" t="n"/>
      <c r="L85" s="16">
        <f>IF(OR(F85="",G85="",J85="",K85=""),"",IF(AND(F85=J85,G85=K85),5*I85,IF(SIGN(F85-G85)=SIGN(J85-K85),3*I85,0)))</f>
        <v/>
      </c>
    </row>
    <row r="86">
      <c r="A86" s="12" t="n">
        <v>84</v>
      </c>
      <c r="B86" s="12" t="inlineStr">
        <is>
          <t>16avos</t>
        </is>
      </c>
      <c r="C86" s="12" t="inlineStr">
        <is>
          <t>jue 2 jul · 2:00 PM</t>
        </is>
      </c>
      <c r="D86" s="13" t="inlineStr">
        <is>
          <t>Los Angeles Stadium</t>
        </is>
      </c>
      <c r="E86" s="13" t="inlineStr">
        <is>
          <t>1º Grupo H</t>
        </is>
      </c>
      <c r="F86" s="14" t="n"/>
      <c r="G86" s="14" t="n"/>
      <c r="H86" s="13" t="inlineStr">
        <is>
          <t>2º Grupo J</t>
        </is>
      </c>
      <c r="I86" s="12" t="n">
        <v>2</v>
      </c>
      <c r="J86" s="15" t="n"/>
      <c r="K86" s="15" t="n"/>
      <c r="L86" s="16">
        <f>IF(OR(F86="",G86="",J86="",K86=""),"",IF(AND(F86=J86,G86=K86),5*I86,IF(SIGN(F86-G86)=SIGN(J86-K86),3*I86,0)))</f>
        <v/>
      </c>
    </row>
    <row r="87">
      <c r="A87" s="12" t="n">
        <v>83</v>
      </c>
      <c r="B87" s="12" t="inlineStr">
        <is>
          <t>16avos</t>
        </is>
      </c>
      <c r="C87" s="12" t="inlineStr">
        <is>
          <t>jue 2 jul · 6:00 PM</t>
        </is>
      </c>
      <c r="D87" s="13" t="inlineStr">
        <is>
          <t>Toronto Stadium</t>
        </is>
      </c>
      <c r="E87" s="13" t="inlineStr">
        <is>
          <t>2º Grupo K</t>
        </is>
      </c>
      <c r="F87" s="14" t="n"/>
      <c r="G87" s="14" t="n"/>
      <c r="H87" s="13" t="inlineStr">
        <is>
          <t>2º Grupo L</t>
        </is>
      </c>
      <c r="I87" s="12" t="n">
        <v>2</v>
      </c>
      <c r="J87" s="15" t="n"/>
      <c r="K87" s="15" t="n"/>
      <c r="L87" s="16">
        <f>IF(OR(F87="",G87="",J87="",K87=""),"",IF(AND(F87=J87,G87=K87),5*I87,IF(SIGN(F87-G87)=SIGN(J87-K87),3*I87,0)))</f>
        <v/>
      </c>
    </row>
    <row r="88">
      <c r="A88" s="12" t="n">
        <v>85</v>
      </c>
      <c r="B88" s="12" t="inlineStr">
        <is>
          <t>16avos</t>
        </is>
      </c>
      <c r="C88" s="12" t="inlineStr">
        <is>
          <t>jue 2 jul · 10:00 PM</t>
        </is>
      </c>
      <c r="D88" s="13" t="inlineStr">
        <is>
          <t>BC Place Vancouver</t>
        </is>
      </c>
      <c r="E88" s="13" t="inlineStr">
        <is>
          <t>1º Grupo B</t>
        </is>
      </c>
      <c r="F88" s="14" t="n"/>
      <c r="G88" s="14" t="n"/>
      <c r="H88" s="13" t="inlineStr">
        <is>
          <t>3º de E/F/G/I/J</t>
        </is>
      </c>
      <c r="I88" s="12" t="n">
        <v>2</v>
      </c>
      <c r="J88" s="15" t="n"/>
      <c r="K88" s="15" t="n"/>
      <c r="L88" s="16">
        <f>IF(OR(F88="",G88="",J88="",K88=""),"",IF(AND(F88=J88,G88=K88),5*I88,IF(SIGN(F88-G88)=SIGN(J88-K88),3*I88,0)))</f>
        <v/>
      </c>
    </row>
    <row r="89">
      <c r="A89" s="12" t="n">
        <v>88</v>
      </c>
      <c r="B89" s="12" t="inlineStr">
        <is>
          <t>16avos</t>
        </is>
      </c>
      <c r="C89" s="12" t="inlineStr">
        <is>
          <t>vie 3 jul · 1:00 PM</t>
        </is>
      </c>
      <c r="D89" s="13" t="inlineStr">
        <is>
          <t>Dallas Stadium</t>
        </is>
      </c>
      <c r="E89" s="13" t="inlineStr">
        <is>
          <t>2º Grupo D</t>
        </is>
      </c>
      <c r="F89" s="14" t="n"/>
      <c r="G89" s="14" t="n"/>
      <c r="H89" s="13" t="inlineStr">
        <is>
          <t>2º Grupo G</t>
        </is>
      </c>
      <c r="I89" s="12" t="n">
        <v>2</v>
      </c>
      <c r="J89" s="15" t="n"/>
      <c r="K89" s="15" t="n"/>
      <c r="L89" s="16">
        <f>IF(OR(F89="",G89="",J89="",K89=""),"",IF(AND(F89=J89,G89=K89),5*I89,IF(SIGN(F89-G89)=SIGN(J89-K89),3*I89,0)))</f>
        <v/>
      </c>
    </row>
    <row r="90">
      <c r="A90" s="12" t="n">
        <v>86</v>
      </c>
      <c r="B90" s="12" t="inlineStr">
        <is>
          <t>16avos</t>
        </is>
      </c>
      <c r="C90" s="12" t="inlineStr">
        <is>
          <t>vie 3 jul · 5:00 PM</t>
        </is>
      </c>
      <c r="D90" s="13" t="inlineStr">
        <is>
          <t>Miami Stadium</t>
        </is>
      </c>
      <c r="E90" s="13" t="inlineStr">
        <is>
          <t>1º Grupo J</t>
        </is>
      </c>
      <c r="F90" s="14" t="n"/>
      <c r="G90" s="14" t="n"/>
      <c r="H90" s="13" t="inlineStr">
        <is>
          <t>2º Grupo H</t>
        </is>
      </c>
      <c r="I90" s="12" t="n">
        <v>2</v>
      </c>
      <c r="J90" s="15" t="n"/>
      <c r="K90" s="15" t="n"/>
      <c r="L90" s="16">
        <f>IF(OR(F90="",G90="",J90="",K90=""),"",IF(AND(F90=J90,G90=K90),5*I90,IF(SIGN(F90-G90)=SIGN(J90-K90),3*I90,0)))</f>
        <v/>
      </c>
    </row>
    <row r="91">
      <c r="A91" s="12" t="n">
        <v>87</v>
      </c>
      <c r="B91" s="12" t="inlineStr">
        <is>
          <t>16avos</t>
        </is>
      </c>
      <c r="C91" s="12" t="inlineStr">
        <is>
          <t>vie 3 jul · 8:30 PM</t>
        </is>
      </c>
      <c r="D91" s="13" t="inlineStr">
        <is>
          <t>Kansas City Stadium</t>
        </is>
      </c>
      <c r="E91" s="13" t="inlineStr">
        <is>
          <t>1º Grupo K</t>
        </is>
      </c>
      <c r="F91" s="14" t="n"/>
      <c r="G91" s="14" t="n"/>
      <c r="H91" s="13" t="inlineStr">
        <is>
          <t>3º de D/E/I/J/L</t>
        </is>
      </c>
      <c r="I91" s="12" t="n">
        <v>2</v>
      </c>
      <c r="J91" s="15" t="n"/>
      <c r="K91" s="15" t="n"/>
      <c r="L91" s="16">
        <f>IF(OR(F91="",G91="",J91="",K91=""),"",IF(AND(F91=J91,G91=K91),5*I91,IF(SIGN(F91-G91)=SIGN(J91-K91),3*I91,0)))</f>
        <v/>
      </c>
    </row>
    <row r="92">
      <c r="A92" s="12" t="n">
        <v>90</v>
      </c>
      <c r="B92" s="12" t="inlineStr">
        <is>
          <t>Octavos</t>
        </is>
      </c>
      <c r="C92" s="12" t="inlineStr">
        <is>
          <t>sáb 4 jul · 12:00 PM</t>
        </is>
      </c>
      <c r="D92" s="13" t="inlineStr">
        <is>
          <t>Houston Stadium</t>
        </is>
      </c>
      <c r="E92" s="13" t="inlineStr">
        <is>
          <t>Por definir</t>
        </is>
      </c>
      <c r="F92" s="14" t="n"/>
      <c r="G92" s="14" t="n"/>
      <c r="H92" s="13" t="inlineStr">
        <is>
          <t>Por definir</t>
        </is>
      </c>
      <c r="I92" s="12" t="n">
        <v>3</v>
      </c>
      <c r="J92" s="15" t="n"/>
      <c r="K92" s="15" t="n"/>
      <c r="L92" s="16">
        <f>IF(OR(F92="",G92="",J92="",K92=""),"",IF(AND(F92=J92,G92=K92),5*I92,IF(SIGN(F92-G92)=SIGN(J92-K92),3*I92,0)))</f>
        <v/>
      </c>
    </row>
    <row r="93">
      <c r="A93" s="12" t="n">
        <v>89</v>
      </c>
      <c r="B93" s="12" t="inlineStr">
        <is>
          <t>Octavos</t>
        </is>
      </c>
      <c r="C93" s="12" t="inlineStr">
        <is>
          <t>sáb 4 jul · 4:00 PM</t>
        </is>
      </c>
      <c r="D93" s="13" t="inlineStr">
        <is>
          <t>Philadelphia Stadium</t>
        </is>
      </c>
      <c r="E93" s="13" t="inlineStr">
        <is>
          <t>Por definir</t>
        </is>
      </c>
      <c r="F93" s="14" t="n"/>
      <c r="G93" s="14" t="n"/>
      <c r="H93" s="13" t="inlineStr">
        <is>
          <t>Por definir</t>
        </is>
      </c>
      <c r="I93" s="12" t="n">
        <v>3</v>
      </c>
      <c r="J93" s="15" t="n"/>
      <c r="K93" s="15" t="n"/>
      <c r="L93" s="16">
        <f>IF(OR(F93="",G93="",J93="",K93=""),"",IF(AND(F93=J93,G93=K93),5*I93,IF(SIGN(F93-G93)=SIGN(J93-K93),3*I93,0)))</f>
        <v/>
      </c>
    </row>
    <row r="94">
      <c r="A94" s="12" t="n">
        <v>91</v>
      </c>
      <c r="B94" s="12" t="inlineStr">
        <is>
          <t>Octavos</t>
        </is>
      </c>
      <c r="C94" s="12" t="inlineStr">
        <is>
          <t>dom 5 jul · 3:00 PM</t>
        </is>
      </c>
      <c r="D94" s="13" t="inlineStr">
        <is>
          <t>New York/New Jersey Stadium</t>
        </is>
      </c>
      <c r="E94" s="13" t="inlineStr">
        <is>
          <t>Por definir</t>
        </is>
      </c>
      <c r="F94" s="14" t="n"/>
      <c r="G94" s="14" t="n"/>
      <c r="H94" s="13" t="inlineStr">
        <is>
          <t>Por definir</t>
        </is>
      </c>
      <c r="I94" s="12" t="n">
        <v>3</v>
      </c>
      <c r="J94" s="15" t="n"/>
      <c r="K94" s="15" t="n"/>
      <c r="L94" s="16">
        <f>IF(OR(F94="",G94="",J94="",K94=""),"",IF(AND(F94=J94,G94=K94),5*I94,IF(SIGN(F94-G94)=SIGN(J94-K94),3*I94,0)))</f>
        <v/>
      </c>
    </row>
    <row r="95">
      <c r="A95" s="12" t="n">
        <v>92</v>
      </c>
      <c r="B95" s="12" t="inlineStr">
        <is>
          <t>Octavos</t>
        </is>
      </c>
      <c r="C95" s="12" t="inlineStr">
        <is>
          <t>dom 5 jul · 7:00 PM</t>
        </is>
      </c>
      <c r="D95" s="13" t="inlineStr">
        <is>
          <t>Mexico City Stadium</t>
        </is>
      </c>
      <c r="E95" s="13" t="inlineStr">
        <is>
          <t>Por definir</t>
        </is>
      </c>
      <c r="F95" s="14" t="n"/>
      <c r="G95" s="14" t="n"/>
      <c r="H95" s="13" t="inlineStr">
        <is>
          <t>Por definir</t>
        </is>
      </c>
      <c r="I95" s="12" t="n">
        <v>3</v>
      </c>
      <c r="J95" s="15" t="n"/>
      <c r="K95" s="15" t="n"/>
      <c r="L95" s="16">
        <f>IF(OR(F95="",G95="",J95="",K95=""),"",IF(AND(F95=J95,G95=K95),5*I95,IF(SIGN(F95-G95)=SIGN(J95-K95),3*I95,0)))</f>
        <v/>
      </c>
    </row>
    <row r="96">
      <c r="A96" s="12" t="n">
        <v>93</v>
      </c>
      <c r="B96" s="12" t="inlineStr">
        <is>
          <t>Octavos</t>
        </is>
      </c>
      <c r="C96" s="12" t="inlineStr">
        <is>
          <t>lun 6 jul · 2:00 PM</t>
        </is>
      </c>
      <c r="D96" s="13" t="inlineStr">
        <is>
          <t>Dallas Stadium</t>
        </is>
      </c>
      <c r="E96" s="13" t="inlineStr">
        <is>
          <t>Por definir</t>
        </is>
      </c>
      <c r="F96" s="14" t="n"/>
      <c r="G96" s="14" t="n"/>
      <c r="H96" s="13" t="inlineStr">
        <is>
          <t>Por definir</t>
        </is>
      </c>
      <c r="I96" s="12" t="n">
        <v>3</v>
      </c>
      <c r="J96" s="15" t="n"/>
      <c r="K96" s="15" t="n"/>
      <c r="L96" s="16">
        <f>IF(OR(F96="",G96="",J96="",K96=""),"",IF(AND(F96=J96,G96=K96),5*I96,IF(SIGN(F96-G96)=SIGN(J96-K96),3*I96,0)))</f>
        <v/>
      </c>
    </row>
    <row r="97">
      <c r="A97" s="12" t="n">
        <v>94</v>
      </c>
      <c r="B97" s="12" t="inlineStr">
        <is>
          <t>Octavos</t>
        </is>
      </c>
      <c r="C97" s="12" t="inlineStr">
        <is>
          <t>lun 6 jul · 7:00 PM</t>
        </is>
      </c>
      <c r="D97" s="13" t="inlineStr">
        <is>
          <t>Seattle Stadium</t>
        </is>
      </c>
      <c r="E97" s="13" t="inlineStr">
        <is>
          <t>Por definir</t>
        </is>
      </c>
      <c r="F97" s="14" t="n"/>
      <c r="G97" s="14" t="n"/>
      <c r="H97" s="13" t="inlineStr">
        <is>
          <t>Por definir</t>
        </is>
      </c>
      <c r="I97" s="12" t="n">
        <v>3</v>
      </c>
      <c r="J97" s="15" t="n"/>
      <c r="K97" s="15" t="n"/>
      <c r="L97" s="16">
        <f>IF(OR(F97="",G97="",J97="",K97=""),"",IF(AND(F97=J97,G97=K97),5*I97,IF(SIGN(F97-G97)=SIGN(J97-K97),3*I97,0)))</f>
        <v/>
      </c>
    </row>
    <row r="98">
      <c r="A98" s="12" t="n">
        <v>95</v>
      </c>
      <c r="B98" s="12" t="inlineStr">
        <is>
          <t>Octavos</t>
        </is>
      </c>
      <c r="C98" s="12" t="inlineStr">
        <is>
          <t>mar 7 jul · 11:00 AM</t>
        </is>
      </c>
      <c r="D98" s="13" t="inlineStr">
        <is>
          <t>Atlanta Stadium</t>
        </is>
      </c>
      <c r="E98" s="13" t="inlineStr">
        <is>
          <t>Por definir</t>
        </is>
      </c>
      <c r="F98" s="14" t="n"/>
      <c r="G98" s="14" t="n"/>
      <c r="H98" s="13" t="inlineStr">
        <is>
          <t>Por definir</t>
        </is>
      </c>
      <c r="I98" s="12" t="n">
        <v>3</v>
      </c>
      <c r="J98" s="15" t="n"/>
      <c r="K98" s="15" t="n"/>
      <c r="L98" s="16">
        <f>IF(OR(F98="",G98="",J98="",K98=""),"",IF(AND(F98=J98,G98=K98),5*I98,IF(SIGN(F98-G98)=SIGN(J98-K98),3*I98,0)))</f>
        <v/>
      </c>
    </row>
    <row r="99">
      <c r="A99" s="12" t="n">
        <v>96</v>
      </c>
      <c r="B99" s="12" t="inlineStr">
        <is>
          <t>Octavos</t>
        </is>
      </c>
      <c r="C99" s="12" t="inlineStr">
        <is>
          <t>mar 7 jul · 3:00 PM</t>
        </is>
      </c>
      <c r="D99" s="13" t="inlineStr">
        <is>
          <t>BC Place Vancouver</t>
        </is>
      </c>
      <c r="E99" s="13" t="inlineStr">
        <is>
          <t>Por definir</t>
        </is>
      </c>
      <c r="F99" s="14" t="n"/>
      <c r="G99" s="14" t="n"/>
      <c r="H99" s="13" t="inlineStr">
        <is>
          <t>Por definir</t>
        </is>
      </c>
      <c r="I99" s="12" t="n">
        <v>3</v>
      </c>
      <c r="J99" s="15" t="n"/>
      <c r="K99" s="15" t="n"/>
      <c r="L99" s="16">
        <f>IF(OR(F99="",G99="",J99="",K99=""),"",IF(AND(F99=J99,G99=K99),5*I99,IF(SIGN(F99-G99)=SIGN(J99-K99),3*I99,0)))</f>
        <v/>
      </c>
    </row>
    <row r="100">
      <c r="A100" s="12" t="n">
        <v>97</v>
      </c>
      <c r="B100" s="12" t="inlineStr">
        <is>
          <t>Cuartos</t>
        </is>
      </c>
      <c r="C100" s="12" t="inlineStr">
        <is>
          <t>jue 9 jul · 3:00 PM</t>
        </is>
      </c>
      <c r="D100" s="13" t="inlineStr">
        <is>
          <t>Boston Stadium</t>
        </is>
      </c>
      <c r="E100" s="13" t="inlineStr">
        <is>
          <t>Por definir</t>
        </is>
      </c>
      <c r="F100" s="14" t="n"/>
      <c r="G100" s="14" t="n"/>
      <c r="H100" s="13" t="inlineStr">
        <is>
          <t>Por definir</t>
        </is>
      </c>
      <c r="I100" s="12" t="n">
        <v>4</v>
      </c>
      <c r="J100" s="15" t="n"/>
      <c r="K100" s="15" t="n"/>
      <c r="L100" s="16">
        <f>IF(OR(F100="",G100="",J100="",K100=""),"",IF(AND(F100=J100,G100=K100),5*I100,IF(SIGN(F100-G100)=SIGN(J100-K100),3*I100,0)))</f>
        <v/>
      </c>
    </row>
    <row r="101">
      <c r="A101" s="12" t="n">
        <v>98</v>
      </c>
      <c r="B101" s="12" t="inlineStr">
        <is>
          <t>Cuartos</t>
        </is>
      </c>
      <c r="C101" s="12" t="inlineStr">
        <is>
          <t>vie 10 jul · 2:00 PM</t>
        </is>
      </c>
      <c r="D101" s="13" t="inlineStr">
        <is>
          <t>Los Angeles Stadium</t>
        </is>
      </c>
      <c r="E101" s="13" t="inlineStr">
        <is>
          <t>Por definir</t>
        </is>
      </c>
      <c r="F101" s="14" t="n"/>
      <c r="G101" s="14" t="n"/>
      <c r="H101" s="13" t="inlineStr">
        <is>
          <t>Por definir</t>
        </is>
      </c>
      <c r="I101" s="12" t="n">
        <v>4</v>
      </c>
      <c r="J101" s="15" t="n"/>
      <c r="K101" s="15" t="n"/>
      <c r="L101" s="16">
        <f>IF(OR(F101="",G101="",J101="",K101=""),"",IF(AND(F101=J101,G101=K101),5*I101,IF(SIGN(F101-G101)=SIGN(J101-K101),3*I101,0)))</f>
        <v/>
      </c>
    </row>
    <row r="102">
      <c r="A102" s="12" t="n">
        <v>99</v>
      </c>
      <c r="B102" s="12" t="inlineStr">
        <is>
          <t>Cuartos</t>
        </is>
      </c>
      <c r="C102" s="12" t="inlineStr">
        <is>
          <t>sáb 11 jul · 4:00 PM</t>
        </is>
      </c>
      <c r="D102" s="13" t="inlineStr">
        <is>
          <t>Miami Stadium</t>
        </is>
      </c>
      <c r="E102" s="13" t="inlineStr">
        <is>
          <t>Por definir</t>
        </is>
      </c>
      <c r="F102" s="14" t="n"/>
      <c r="G102" s="14" t="n"/>
      <c r="H102" s="13" t="inlineStr">
        <is>
          <t>Por definir</t>
        </is>
      </c>
      <c r="I102" s="12" t="n">
        <v>4</v>
      </c>
      <c r="J102" s="15" t="n"/>
      <c r="K102" s="15" t="n"/>
      <c r="L102" s="16">
        <f>IF(OR(F102="",G102="",J102="",K102=""),"",IF(AND(F102=J102,G102=K102),5*I102,IF(SIGN(F102-G102)=SIGN(J102-K102),3*I102,0)))</f>
        <v/>
      </c>
    </row>
    <row r="103">
      <c r="A103" s="12" t="n">
        <v>100</v>
      </c>
      <c r="B103" s="12" t="inlineStr">
        <is>
          <t>Cuartos</t>
        </is>
      </c>
      <c r="C103" s="12" t="inlineStr">
        <is>
          <t>sáb 11 jul · 8:00 PM</t>
        </is>
      </c>
      <c r="D103" s="13" t="inlineStr">
        <is>
          <t>Kansas City Stadium</t>
        </is>
      </c>
      <c r="E103" s="13" t="inlineStr">
        <is>
          <t>Por definir</t>
        </is>
      </c>
      <c r="F103" s="14" t="n"/>
      <c r="G103" s="14" t="n"/>
      <c r="H103" s="13" t="inlineStr">
        <is>
          <t>Por definir</t>
        </is>
      </c>
      <c r="I103" s="12" t="n">
        <v>4</v>
      </c>
      <c r="J103" s="15" t="n"/>
      <c r="K103" s="15" t="n"/>
      <c r="L103" s="16">
        <f>IF(OR(F103="",G103="",J103="",K103=""),"",IF(AND(F103=J103,G103=K103),5*I103,IF(SIGN(F103-G103)=SIGN(J103-K103),3*I103,0)))</f>
        <v/>
      </c>
    </row>
    <row r="104">
      <c r="A104" s="12" t="n">
        <v>101</v>
      </c>
      <c r="B104" s="12" t="inlineStr">
        <is>
          <t>Semis</t>
        </is>
      </c>
      <c r="C104" s="12" t="inlineStr">
        <is>
          <t>mar 14 jul · 2:00 PM</t>
        </is>
      </c>
      <c r="D104" s="13" t="inlineStr">
        <is>
          <t>Dallas Stadium</t>
        </is>
      </c>
      <c r="E104" s="13" t="inlineStr">
        <is>
          <t>Por definir</t>
        </is>
      </c>
      <c r="F104" s="14" t="n"/>
      <c r="G104" s="14" t="n"/>
      <c r="H104" s="13" t="inlineStr">
        <is>
          <t>Por definir</t>
        </is>
      </c>
      <c r="I104" s="12" t="n">
        <v>5</v>
      </c>
      <c r="J104" s="15" t="n"/>
      <c r="K104" s="15" t="n"/>
      <c r="L104" s="16">
        <f>IF(OR(F104="",G104="",J104="",K104=""),"",IF(AND(F104=J104,G104=K104),5*I104,IF(SIGN(F104-G104)=SIGN(J104-K104),3*I104,0)))</f>
        <v/>
      </c>
    </row>
    <row r="105">
      <c r="A105" s="12" t="n">
        <v>102</v>
      </c>
      <c r="B105" s="12" t="inlineStr">
        <is>
          <t>Semis</t>
        </is>
      </c>
      <c r="C105" s="12" t="inlineStr">
        <is>
          <t>mié 15 jul · 2:00 PM</t>
        </is>
      </c>
      <c r="D105" s="13" t="inlineStr">
        <is>
          <t>Atlanta Stadium</t>
        </is>
      </c>
      <c r="E105" s="13" t="inlineStr">
        <is>
          <t>Por definir</t>
        </is>
      </c>
      <c r="F105" s="14" t="n"/>
      <c r="G105" s="14" t="n"/>
      <c r="H105" s="13" t="inlineStr">
        <is>
          <t>Por definir</t>
        </is>
      </c>
      <c r="I105" s="12" t="n">
        <v>5</v>
      </c>
      <c r="J105" s="15" t="n"/>
      <c r="K105" s="15" t="n"/>
      <c r="L105" s="16">
        <f>IF(OR(F105="",G105="",J105="",K105=""),"",IF(AND(F105=J105,G105=K105),5*I105,IF(SIGN(F105-G105)=SIGN(J105-K105),3*I105,0)))</f>
        <v/>
      </c>
    </row>
    <row r="106">
      <c r="A106" s="12" t="n">
        <v>103</v>
      </c>
      <c r="B106" s="12" t="inlineStr">
        <is>
          <t>Final</t>
        </is>
      </c>
      <c r="C106" s="12" t="inlineStr">
        <is>
          <t>sáb 18 jul · 4:00 PM</t>
        </is>
      </c>
      <c r="D106" s="13" t="inlineStr">
        <is>
          <t>Miami Stadium</t>
        </is>
      </c>
      <c r="E106" s="13" t="inlineStr">
        <is>
          <t>Por definir</t>
        </is>
      </c>
      <c r="F106" s="14" t="n"/>
      <c r="G106" s="14" t="n"/>
      <c r="H106" s="13" t="inlineStr">
        <is>
          <t>Por definir</t>
        </is>
      </c>
      <c r="I106" s="12" t="n">
        <v>5</v>
      </c>
      <c r="J106" s="15" t="n"/>
      <c r="K106" s="15" t="n"/>
      <c r="L106" s="16">
        <f>IF(OR(F106="",G106="",J106="",K106=""),"",IF(AND(F106=J106,G106=K106),5*I106,IF(SIGN(F106-G106)=SIGN(J106-K106),3*I106,0)))</f>
        <v/>
      </c>
    </row>
    <row r="107">
      <c r="A107" s="12" t="n">
        <v>104</v>
      </c>
      <c r="B107" s="12" t="inlineStr">
        <is>
          <t>Final</t>
        </is>
      </c>
      <c r="C107" s="12" t="inlineStr">
        <is>
          <t>dom 19 jul · 2:00 PM</t>
        </is>
      </c>
      <c r="D107" s="13" t="inlineStr">
        <is>
          <t>New York/New Jersey Stadium</t>
        </is>
      </c>
      <c r="E107" s="13" t="inlineStr">
        <is>
          <t>Por definir</t>
        </is>
      </c>
      <c r="F107" s="14" t="n"/>
      <c r="G107" s="14" t="n"/>
      <c r="H107" s="13" t="inlineStr">
        <is>
          <t>Por definir</t>
        </is>
      </c>
      <c r="I107" s="12" t="n">
        <v>6</v>
      </c>
      <c r="J107" s="15" t="n"/>
      <c r="K107" s="15" t="n"/>
      <c r="L107" s="16">
        <f>IF(OR(F107="",G107="",J107="",K107=""),"",IF(AND(F107=J107,G107=K107),5*I107,IF(SIGN(F107-G107)=SIGN(J107-K107),3*I107,0)))</f>
        <v/>
      </c>
    </row>
  </sheetData>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showDropDown="0" showInputMessage="0" showErrorMessage="0" allowBlank="0" errorTitle="¿Tantos goles, parcero?" error="Entre 0 y 15… esto es fútbol, no tejo 😂" type="whole" operator="between">
      <formula1>0</formula1>
      <formula2>15</formula2>
    </dataValidation>
  </dataValidations>
  <pageMargins left="0.75" right="0.75" top="1" bottom="1" header="0.5" footer="0.5"/>
</worksheet>
</file>

<file path=xl/worksheets/sheet3.xml><?xml version="1.0" encoding="utf-8"?>
<worksheet xmlns="http://schemas.openxmlformats.org/spreadsheetml/2006/main">
  <sheetPr>
    <tabColor rgb="00E1382F"/>
    <outlinePr summaryBelow="1" summaryRight="1"/>
    <pageSetUpPr/>
  </sheetPr>
  <dimension ref="A1:B14"/>
  <sheetViews>
    <sheetView workbookViewId="0">
      <selection activeCell="A1" sqref="A1"/>
    </sheetView>
  </sheetViews>
  <sheetFormatPr baseColWidth="8" defaultRowHeight="15"/>
  <cols>
    <col width="30" customWidth="1" min="1" max="1"/>
    <col width="26" customWidth="1" min="2" max="2"/>
    <col width="26" customWidth="1" min="3" max="3"/>
    <col width="16" customWidth="1" min="4" max="4"/>
  </cols>
  <sheetData>
    <row r="1">
      <c r="A1" s="9" t="inlineStr">
        <is>
          <t>💰 LAS APUESTAS GRANDES — elige de la lista, no inventes selecciones</t>
        </is>
      </c>
    </row>
    <row r="3">
      <c r="A3" s="19" t="inlineStr">
        <is>
          <t>TU FINALISTA #1 (15 pts si llega)</t>
        </is>
      </c>
      <c r="B3" s="20" t="n"/>
    </row>
    <row r="4">
      <c r="A4" s="19" t="inlineStr">
        <is>
          <t>TU FINALISTA #2 (15 pts si llega)</t>
        </is>
      </c>
      <c r="B4" s="20" t="n"/>
    </row>
    <row r="5">
      <c r="A5" s="19" t="inlineStr">
        <is>
          <t>TU CAMPEÓN 👑 (30 pts · debe ser uno de tus 2 finalistas)</t>
        </is>
      </c>
      <c r="B5" s="20" t="n"/>
    </row>
    <row r="7">
      <c r="A7" s="21" t="inlineStr">
        <is>
          <t>— Cuando se sepan los de verdad (los llena el admin) —</t>
        </is>
      </c>
    </row>
    <row r="8">
      <c r="A8" s="19" t="inlineStr">
        <is>
          <t>FINALISTA REAL #1</t>
        </is>
      </c>
      <c r="B8" s="22" t="n"/>
    </row>
    <row r="9">
      <c r="A9" s="19" t="inlineStr">
        <is>
          <t>FINALISTA REAL #2</t>
        </is>
      </c>
      <c r="B9" s="22" t="n"/>
    </row>
    <row r="10">
      <c r="A10" s="19" t="inlineStr">
        <is>
          <t>CAMPEÓN REAL</t>
        </is>
      </c>
      <c r="B10" s="22" t="n"/>
    </row>
    <row r="12">
      <c r="A12" s="9" t="inlineStr">
        <is>
          <t>TUS PUNTOS DE BONO →</t>
        </is>
      </c>
      <c r="B12" s="10">
        <f>IF(OR($B$8="",$B$9=""),"",SUMPRODUCT(--(COUNTIF($B$8:$B$9,$B$3:$B$4)&gt;0))*15 + IF($B$5=$B$10,30,0))</f>
        <v/>
      </c>
    </row>
    <row r="14">
      <c r="A14" s="21" t="inlineStr">
        <is>
          <t>💡 Pro tip: antes de apostar, prueba el SIMULADOR de la app 🔮 — verifica que tu final SÍ exista y no se cruce en octavos.</t>
        </is>
      </c>
    </row>
  </sheetData>
  <dataValidations count="1">
    <dataValidation sqref="B3 B4 B5" showDropDown="0" showInputMessage="0" showErrorMessage="0" allowBlank="0" errorTitle="Ese equipo no existe" error="De la lista, parcero. Vaticano FC no clasificó 😂" type="list">
      <formula1>=_equipos!$A$1:$A$48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t="inlineStr">
        <is>
          <t>Alemania</t>
        </is>
      </c>
    </row>
    <row r="2">
      <c r="A2" t="inlineStr">
        <is>
          <t>Arabia Saudita</t>
        </is>
      </c>
    </row>
    <row r="3">
      <c r="A3" t="inlineStr">
        <is>
          <t>Argelia</t>
        </is>
      </c>
    </row>
    <row r="4">
      <c r="A4" t="inlineStr">
        <is>
          <t>Argentina</t>
        </is>
      </c>
    </row>
    <row r="5">
      <c r="A5" t="inlineStr">
        <is>
          <t>Australia</t>
        </is>
      </c>
    </row>
    <row r="6">
      <c r="A6" t="inlineStr">
        <is>
          <t>Austria</t>
        </is>
      </c>
    </row>
    <row r="7">
      <c r="A7" t="inlineStr">
        <is>
          <t>Bosnia y Herzegovina</t>
        </is>
      </c>
    </row>
    <row r="8">
      <c r="A8" t="inlineStr">
        <is>
          <t>Brasil</t>
        </is>
      </c>
    </row>
    <row r="9">
      <c r="A9" t="inlineStr">
        <is>
          <t>Bélgica</t>
        </is>
      </c>
    </row>
    <row r="10">
      <c r="A10" t="inlineStr">
        <is>
          <t>Cabo Verde</t>
        </is>
      </c>
    </row>
    <row r="11">
      <c r="A11" t="inlineStr">
        <is>
          <t>Canadá</t>
        </is>
      </c>
    </row>
    <row r="12">
      <c r="A12" t="inlineStr">
        <is>
          <t>Catar</t>
        </is>
      </c>
    </row>
    <row r="13">
      <c r="A13" t="inlineStr">
        <is>
          <t>Chequia</t>
        </is>
      </c>
    </row>
    <row r="14">
      <c r="A14" t="inlineStr">
        <is>
          <t>Colombia 🇨🇴</t>
        </is>
      </c>
    </row>
    <row r="15">
      <c r="A15" t="inlineStr">
        <is>
          <t>Corea del Sur</t>
        </is>
      </c>
    </row>
    <row r="16">
      <c r="A16" t="inlineStr">
        <is>
          <t>Costa de Marfil</t>
        </is>
      </c>
    </row>
    <row r="17">
      <c r="A17" t="inlineStr">
        <is>
          <t>Croacia</t>
        </is>
      </c>
    </row>
    <row r="18">
      <c r="A18" t="inlineStr">
        <is>
          <t>Curazao</t>
        </is>
      </c>
    </row>
    <row r="19">
      <c r="A19" t="inlineStr">
        <is>
          <t>Ecuador</t>
        </is>
      </c>
    </row>
    <row r="20">
      <c r="A20" t="inlineStr">
        <is>
          <t>Egipto</t>
        </is>
      </c>
    </row>
    <row r="21">
      <c r="A21" t="inlineStr">
        <is>
          <t>Escocia</t>
        </is>
      </c>
    </row>
    <row r="22">
      <c r="A22" t="inlineStr">
        <is>
          <t>España</t>
        </is>
      </c>
    </row>
    <row r="23">
      <c r="A23" t="inlineStr">
        <is>
          <t>Estados Unidos</t>
        </is>
      </c>
    </row>
    <row r="24">
      <c r="A24" t="inlineStr">
        <is>
          <t>Francia</t>
        </is>
      </c>
    </row>
    <row r="25">
      <c r="A25" t="inlineStr">
        <is>
          <t>Ghana</t>
        </is>
      </c>
    </row>
    <row r="26">
      <c r="A26" t="inlineStr">
        <is>
          <t>Haití</t>
        </is>
      </c>
    </row>
    <row r="27">
      <c r="A27" t="inlineStr">
        <is>
          <t>Inglaterra</t>
        </is>
      </c>
    </row>
    <row r="28">
      <c r="A28" t="inlineStr">
        <is>
          <t>Irak</t>
        </is>
      </c>
    </row>
    <row r="29">
      <c r="A29" t="inlineStr">
        <is>
          <t>Irán</t>
        </is>
      </c>
    </row>
    <row r="30">
      <c r="A30" t="inlineStr">
        <is>
          <t>Japón</t>
        </is>
      </c>
    </row>
    <row r="31">
      <c r="A31" t="inlineStr">
        <is>
          <t>Jordania</t>
        </is>
      </c>
    </row>
    <row r="32">
      <c r="A32" t="inlineStr">
        <is>
          <t>Marruecos</t>
        </is>
      </c>
    </row>
    <row r="33">
      <c r="A33" t="inlineStr">
        <is>
          <t>México</t>
        </is>
      </c>
    </row>
    <row r="34">
      <c r="A34" t="inlineStr">
        <is>
          <t>Noruega</t>
        </is>
      </c>
    </row>
    <row r="35">
      <c r="A35" t="inlineStr">
        <is>
          <t>Nueva Zelanda</t>
        </is>
      </c>
    </row>
    <row r="36">
      <c r="A36" t="inlineStr">
        <is>
          <t>Panamá</t>
        </is>
      </c>
    </row>
    <row r="37">
      <c r="A37" t="inlineStr">
        <is>
          <t>Paraguay</t>
        </is>
      </c>
    </row>
    <row r="38">
      <c r="A38" t="inlineStr">
        <is>
          <t>Países Bajos</t>
        </is>
      </c>
    </row>
    <row r="39">
      <c r="A39" t="inlineStr">
        <is>
          <t>Portugal</t>
        </is>
      </c>
    </row>
    <row r="40">
      <c r="A40" t="inlineStr">
        <is>
          <t>RD Congo</t>
        </is>
      </c>
    </row>
    <row r="41">
      <c r="A41" t="inlineStr">
        <is>
          <t>Senegal</t>
        </is>
      </c>
    </row>
    <row r="42">
      <c r="A42" t="inlineStr">
        <is>
          <t>Sudáfrica</t>
        </is>
      </c>
    </row>
    <row r="43">
      <c r="A43" t="inlineStr">
        <is>
          <t>Suecia</t>
        </is>
      </c>
    </row>
    <row r="44">
      <c r="A44" t="inlineStr">
        <is>
          <t>Suiza</t>
        </is>
      </c>
    </row>
    <row r="45">
      <c r="A45" t="inlineStr">
        <is>
          <t>Turquía</t>
        </is>
      </c>
    </row>
    <row r="46">
      <c r="A46" t="inlineStr">
        <is>
          <t>Túnez</t>
        </is>
      </c>
    </row>
    <row r="47">
      <c r="A47" t="inlineStr">
        <is>
          <t>Uruguay</t>
        </is>
      </c>
    </row>
    <row r="48">
      <c r="A48" t="inlineStr">
        <is>
          <t>Uzbekistán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2026-06-08T01:17:37Z</dcterms:created>
  <dcterms:modified xmlns:dcterms="http://purl.org/dc/terms/" xmlns:xsi="http://www.w3.org/2001/XMLSchema-instance" xsi:type="dcterms:W3CDTF">2026-06-08T01:17:37Z</dcterms:modified>
</cp:coreProperties>
</file>