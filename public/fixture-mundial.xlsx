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 sheetId="1" state="visible" r:id="rId1"/>
    <sheet xmlns:r="http://schemas.openxmlformats.org/officeDocument/2006/relationships" name="FASE DE GRUPOS" sheetId="2" state="visible" r:id="rId2"/>
    <sheet xmlns:r="http://schemas.openxmlformats.org/officeDocument/2006/relationships" name="TABLAS" sheetId="3" state="visible" r:id="rId3"/>
    <sheet xmlns:r="http://schemas.openxmlformats.org/officeDocument/2006/relationships" name="ELIMINATORIA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lack"/>
      <color rgb="001B1714"/>
      <sz val="15"/>
    </font>
    <font>
      <sz val="10"/>
    </font>
    <font>
      <b val="1"/>
      <sz val="10"/>
    </font>
    <font>
      <b val="1"/>
      <color rgb="003447D6"/>
      <sz val="11"/>
    </font>
    <font>
      <i val="1"/>
      <sz val="9"/>
    </font>
    <font>
      <b val="1"/>
      <color rgb="00FFFFFF"/>
      <sz val="10"/>
    </font>
    <font>
      <name val="Arial Black"/>
      <color rgb="001B1714"/>
      <sz val="12"/>
    </font>
    <font>
      <name val="Arial Black"/>
      <sz val="11"/>
    </font>
  </fonts>
  <fills count="7">
    <fill>
      <patternFill/>
    </fill>
    <fill>
      <patternFill patternType="gray125"/>
    </fill>
    <fill>
      <patternFill patternType="solid">
        <fgColor rgb="00FFC22E"/>
      </patternFill>
    </fill>
    <fill>
      <patternFill patternType="solid">
        <fgColor rgb="00FBF4E6"/>
      </patternFill>
    </fill>
    <fill>
      <patternFill patternType="solid">
        <fgColor rgb="001B1714"/>
      </patternFill>
    </fill>
    <fill>
      <patternFill patternType="solid">
        <fgColor rgb="00FFF3C4"/>
      </patternFill>
    </fill>
    <fill>
      <patternFill patternType="solid">
        <fgColor rgb="00FFE08A"/>
      </patternFill>
    </fill>
  </fills>
  <borders count="2">
    <border>
      <left/>
      <right/>
      <top/>
      <bottom/>
      <diagonal/>
    </border>
    <border>
      <left style="thin">
        <color rgb="001B1714"/>
      </left>
      <right style="thin">
        <color rgb="001B1714"/>
      </right>
      <top style="thin">
        <color rgb="001B1714"/>
      </top>
      <bottom style="thin">
        <color rgb="001B1714"/>
      </bottom>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2" fillId="0" borderId="0" applyAlignment="1" pivotButton="0" quotePrefix="0" xfId="0">
      <alignment vertical="center" wrapText="1"/>
    </xf>
    <xf numFmtId="0" fontId="3" fillId="3"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3" fillId="0" borderId="0" pivotButton="0" quotePrefix="0" xfId="0"/>
    <xf numFmtId="0" fontId="6" fillId="4"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2" borderId="1" applyAlignment="1" pivotButton="0" quotePrefix="0" xfId="0">
      <alignment horizontal="center" vertical="center"/>
    </xf>
    <xf numFmtId="0" fontId="2" fillId="5" borderId="1" applyAlignment="1" pivotButton="0" quotePrefix="0" xfId="0">
      <alignment horizontal="center" vertical="center"/>
    </xf>
    <xf numFmtId="0" fontId="2" fillId="5" borderId="1" applyAlignment="1" pivotButton="0" quotePrefix="0" xfId="0">
      <alignment horizontal="left" vertical="center"/>
    </xf>
    <xf numFmtId="0" fontId="7" fillId="2" borderId="1" pivotButton="0" quotePrefix="0" xfId="0"/>
    <xf numFmtId="0" fontId="0" fillId="2" borderId="1" pivotButton="0" quotePrefix="0" xfId="0"/>
    <xf numFmtId="0" fontId="8" fillId="0"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3" fillId="6" borderId="1" applyAlignment="1" pivotButton="0" quotePrefix="0" xfId="0">
      <alignment horizontal="center" vertical="center"/>
    </xf>
    <xf numFmtId="0" fontId="3" fillId="6" borderId="1" applyAlignment="1" pivotButton="0" quotePrefix="0" xfId="0">
      <alignment horizontal="left" vertical="center"/>
    </xf>
  </cellXfs>
  <cellStyles count="1">
    <cellStyle name="Normal" xfId="0" builtinId="0" hidden="0"/>
  </cellStyles>
  <dxfs count="1">
    <dxf>
      <fill>
        <patternFill patternType="solid">
          <f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C22E"/>
    <outlinePr summaryBelow="1" summaryRight="1"/>
    <pageSetUpPr/>
  </sheetPr>
  <dimension ref="A1:A15"/>
  <sheetViews>
    <sheetView workbookViewId="0">
      <selection activeCell="A1" sqref="A1"/>
    </sheetView>
  </sheetViews>
  <sheetFormatPr baseColWidth="8" defaultRowHeight="15"/>
  <cols>
    <col width="104" customWidth="1" min="1" max="1"/>
  </cols>
  <sheetData>
    <row r="1">
      <c r="A1" s="1" t="inlineStr">
        <is>
          <t>🐔⚽ FIXTURE MUNDIAL 2026 — LA POLLA DE ALAMEDA (versión Excel) ⚽🐔</t>
        </is>
      </c>
    </row>
    <row r="2">
      <c r="A2" s="2" t="inlineStr"/>
    </row>
    <row r="3">
      <c r="A3" s="3" t="inlineStr">
        <is>
          <t>Pa'l parcero al que le gusta el Excel más que el WhatsApp 😂. Este archivo hace la magia solo:</t>
        </is>
      </c>
    </row>
    <row r="4">
      <c r="A4" s="2" t="inlineStr"/>
    </row>
    <row r="5">
      <c r="A5" s="4" t="inlineStr">
        <is>
          <t>📋 HOJA 'FASE DE GRUPOS': escribe los goles en las casillas amarillas y…</t>
        </is>
      </c>
    </row>
    <row r="6">
      <c r="A6" s="3" t="inlineStr">
        <is>
          <t>📊 HOJA 'TABLAS': las posiciones de los 12 grupos se calculan SOLAS (puntos, goles, diferencia y posición). ¡No tocas nada!</t>
        </is>
      </c>
    </row>
    <row r="7">
      <c r="A7" s="3" t="inlineStr">
        <is>
          <t>🏆 HOJA 'ELIMINATORIAS': el cuadro completo desde 16avos hasta la final, con fechas y estadios (hora Colombia).</t>
        </is>
      </c>
    </row>
    <row r="8">
      <c r="A8" s="2" t="inlineStr"/>
    </row>
    <row r="9">
      <c r="A9" s="3" t="inlineStr">
        <is>
          <t>⚽ Recuerda: ganar = 3 pts, empate = 1, perder = 0. Clasifican los 2 primeros de cada grupo + los 8 mejores terceros.</t>
        </is>
      </c>
    </row>
    <row r="10">
      <c r="A10" s="3" t="inlineStr">
        <is>
          <t>📈 Si dos quedan iguales: desempata la diferencia de goles, luego los goles a favor.</t>
        </is>
      </c>
    </row>
    <row r="11">
      <c r="A11" s="2" t="inlineStr"/>
    </row>
    <row r="12">
      <c r="A12" s="5" t="inlineStr">
        <is>
          <t>🎯 ¿Quieres JUGAR la polla de verdad y ganar billete pa' la natillera? Esto es solo pa' practicar.</t>
        </is>
      </c>
    </row>
    <row r="13">
      <c r="A13" s="6" t="inlineStr">
        <is>
          <t xml:space="preserve">   La buena está en la app (te calcula puntos, te avisa morosos y trae hasta simulador): pollamundialnatillera.vercel.app</t>
        </is>
      </c>
    </row>
    <row r="14">
      <c r="A14" s="2" t="inlineStr"/>
    </row>
    <row r="15">
      <c r="A15" s="7" t="inlineStr">
        <is>
          <t>Hecho con cariño por INPLUX SAS · prohibido copiarlo: la gallina tiene abogados 🐔⚖️</t>
        </is>
      </c>
    </row>
  </sheetData>
  <pageMargins left="0.75" right="0.75" top="1" bottom="1" header="0.5" footer="0.5"/>
</worksheet>
</file>

<file path=xl/worksheets/sheet2.xml><?xml version="1.0" encoding="utf-8"?>
<worksheet xmlns="http://schemas.openxmlformats.org/spreadsheetml/2006/main">
  <sheetPr>
    <tabColor rgb="001B9150"/>
    <outlinePr summaryBelow="1" summaryRight="1"/>
    <pageSetUpPr/>
  </sheetPr>
  <dimension ref="A1:H85"/>
  <sheetViews>
    <sheetView workbookViewId="0">
      <pane ySplit="2" topLeftCell="A3" activePane="bottomLeft" state="frozen"/>
      <selection pane="bottomLeft" activeCell="A1" sqref="A1"/>
    </sheetView>
  </sheetViews>
  <sheetFormatPr baseColWidth="8" defaultRowHeight="15"/>
  <cols>
    <col width="5" customWidth="1" min="1" max="1"/>
    <col width="7" customWidth="1" min="2" max="2"/>
    <col width="18" customWidth="1" min="3" max="3"/>
    <col width="5" customWidth="1" min="4" max="4"/>
    <col width="5" customWidth="1" min="5" max="5"/>
    <col width="18" customWidth="1" min="6" max="6"/>
    <col width="22" customWidth="1" min="7" max="7"/>
    <col width="26" customWidth="1" min="8" max="8"/>
  </cols>
  <sheetData>
    <row r="1">
      <c r="A1" s="8" t="inlineStr">
        <is>
          <t>🐔 Escribe los goles SOLO en las columnas amarillas (GL = goles local · GV = goles visita)</t>
        </is>
      </c>
    </row>
    <row r="2">
      <c r="A2" s="9" t="inlineStr">
        <is>
          <t>P#</t>
        </is>
      </c>
      <c r="B2" s="9" t="inlineStr">
        <is>
          <t>Grupo</t>
        </is>
      </c>
      <c r="C2" s="9" t="inlineStr">
        <is>
          <t>LOCAL</t>
        </is>
      </c>
      <c r="D2" s="9" t="inlineStr">
        <is>
          <t>GL</t>
        </is>
      </c>
      <c r="E2" s="9" t="inlineStr">
        <is>
          <t>GV</t>
        </is>
      </c>
      <c r="F2" s="9" t="inlineStr">
        <is>
          <t>VISITANTE</t>
        </is>
      </c>
      <c r="G2" s="9" t="inlineStr">
        <is>
          <t>Fecha (Col)</t>
        </is>
      </c>
      <c r="H2" s="9" t="inlineStr">
        <is>
          <t>Estadio</t>
        </is>
      </c>
    </row>
    <row r="3">
      <c r="A3" s="10" t="n">
        <v>1</v>
      </c>
      <c r="B3" s="10" t="inlineStr">
        <is>
          <t>A</t>
        </is>
      </c>
      <c r="C3" s="11" t="inlineStr">
        <is>
          <t>México</t>
        </is>
      </c>
      <c r="D3" s="12" t="n"/>
      <c r="E3" s="12" t="n"/>
      <c r="F3" s="11" t="inlineStr">
        <is>
          <t>Sudáfrica</t>
        </is>
      </c>
      <c r="G3" s="11" t="inlineStr">
        <is>
          <t>jue 11 jun · 2:00 PM</t>
        </is>
      </c>
      <c r="H3" s="11" t="inlineStr">
        <is>
          <t>Mexico City Stadium</t>
        </is>
      </c>
    </row>
    <row r="4">
      <c r="A4" s="10" t="n">
        <v>2</v>
      </c>
      <c r="B4" s="10" t="inlineStr">
        <is>
          <t>A</t>
        </is>
      </c>
      <c r="C4" s="11" t="inlineStr">
        <is>
          <t>Corea del Sur</t>
        </is>
      </c>
      <c r="D4" s="12" t="n"/>
      <c r="E4" s="12" t="n"/>
      <c r="F4" s="11" t="inlineStr">
        <is>
          <t>Chequia</t>
        </is>
      </c>
      <c r="G4" s="11" t="inlineStr">
        <is>
          <t>jue 11 jun · 9:00 PM</t>
        </is>
      </c>
      <c r="H4" s="11" t="inlineStr">
        <is>
          <t>Guadalajara Stadium</t>
        </is>
      </c>
    </row>
    <row r="5">
      <c r="A5" s="10" t="n">
        <v>25</v>
      </c>
      <c r="B5" s="10" t="inlineStr">
        <is>
          <t>A</t>
        </is>
      </c>
      <c r="C5" s="11" t="inlineStr">
        <is>
          <t>Chequia</t>
        </is>
      </c>
      <c r="D5" s="12" t="n"/>
      <c r="E5" s="12" t="n"/>
      <c r="F5" s="11" t="inlineStr">
        <is>
          <t>Sudáfrica</t>
        </is>
      </c>
      <c r="G5" s="11" t="inlineStr">
        <is>
          <t>jue 18 jun · 11:00 AM</t>
        </is>
      </c>
      <c r="H5" s="11" t="inlineStr">
        <is>
          <t>Atlanta Stadium</t>
        </is>
      </c>
    </row>
    <row r="6">
      <c r="A6" s="10" t="n">
        <v>28</v>
      </c>
      <c r="B6" s="10" t="inlineStr">
        <is>
          <t>A</t>
        </is>
      </c>
      <c r="C6" s="11" t="inlineStr">
        <is>
          <t>México</t>
        </is>
      </c>
      <c r="D6" s="12" t="n"/>
      <c r="E6" s="12" t="n"/>
      <c r="F6" s="11" t="inlineStr">
        <is>
          <t>Corea del Sur</t>
        </is>
      </c>
      <c r="G6" s="11" t="inlineStr">
        <is>
          <t>jue 18 jun · 8:00 PM</t>
        </is>
      </c>
      <c r="H6" s="11" t="inlineStr">
        <is>
          <t>Guadalajara Stadium</t>
        </is>
      </c>
    </row>
    <row r="7">
      <c r="A7" s="10" t="n">
        <v>53</v>
      </c>
      <c r="B7" s="10" t="inlineStr">
        <is>
          <t>A</t>
        </is>
      </c>
      <c r="C7" s="11" t="inlineStr">
        <is>
          <t>Chequia</t>
        </is>
      </c>
      <c r="D7" s="12" t="n"/>
      <c r="E7" s="12" t="n"/>
      <c r="F7" s="11" t="inlineStr">
        <is>
          <t>México</t>
        </is>
      </c>
      <c r="G7" s="11" t="inlineStr">
        <is>
          <t>mié 24 jun · 8:00 PM</t>
        </is>
      </c>
      <c r="H7" s="11" t="inlineStr">
        <is>
          <t>Mexico City Stadium</t>
        </is>
      </c>
    </row>
    <row r="8">
      <c r="A8" s="10" t="n">
        <v>54</v>
      </c>
      <c r="B8" s="10" t="inlineStr">
        <is>
          <t>A</t>
        </is>
      </c>
      <c r="C8" s="11" t="inlineStr">
        <is>
          <t>Sudáfrica</t>
        </is>
      </c>
      <c r="D8" s="12" t="n"/>
      <c r="E8" s="12" t="n"/>
      <c r="F8" s="11" t="inlineStr">
        <is>
          <t>Corea del Sur</t>
        </is>
      </c>
      <c r="G8" s="11" t="inlineStr">
        <is>
          <t>mié 24 jun · 8:00 PM</t>
        </is>
      </c>
      <c r="H8" s="11" t="inlineStr">
        <is>
          <t>Monterrey Stadium</t>
        </is>
      </c>
    </row>
    <row r="10">
      <c r="A10" s="10" t="n">
        <v>3</v>
      </c>
      <c r="B10" s="10" t="inlineStr">
        <is>
          <t>B</t>
        </is>
      </c>
      <c r="C10" s="11" t="inlineStr">
        <is>
          <t>Canadá</t>
        </is>
      </c>
      <c r="D10" s="12" t="n"/>
      <c r="E10" s="12" t="n"/>
      <c r="F10" s="11" t="inlineStr">
        <is>
          <t>Bosnia</t>
        </is>
      </c>
      <c r="G10" s="11" t="inlineStr">
        <is>
          <t>vie 12 jun · 2:00 PM</t>
        </is>
      </c>
      <c r="H10" s="11" t="inlineStr">
        <is>
          <t>Toronto Stadium</t>
        </is>
      </c>
    </row>
    <row r="11">
      <c r="A11" s="10" t="n">
        <v>8</v>
      </c>
      <c r="B11" s="10" t="inlineStr">
        <is>
          <t>B</t>
        </is>
      </c>
      <c r="C11" s="11" t="inlineStr">
        <is>
          <t>Catar</t>
        </is>
      </c>
      <c r="D11" s="12" t="n"/>
      <c r="E11" s="12" t="n"/>
      <c r="F11" s="11" t="inlineStr">
        <is>
          <t>Suiza</t>
        </is>
      </c>
      <c r="G11" s="11" t="inlineStr">
        <is>
          <t>sáb 13 jun · 2:00 PM</t>
        </is>
      </c>
      <c r="H11" s="11" t="inlineStr">
        <is>
          <t>San Francisco Bay Area Stadium</t>
        </is>
      </c>
    </row>
    <row r="12">
      <c r="A12" s="10" t="n">
        <v>26</v>
      </c>
      <c r="B12" s="10" t="inlineStr">
        <is>
          <t>B</t>
        </is>
      </c>
      <c r="C12" s="11" t="inlineStr">
        <is>
          <t>Suiza</t>
        </is>
      </c>
      <c r="D12" s="12" t="n"/>
      <c r="E12" s="12" t="n"/>
      <c r="F12" s="11" t="inlineStr">
        <is>
          <t>Bosnia</t>
        </is>
      </c>
      <c r="G12" s="11" t="inlineStr">
        <is>
          <t>jue 18 jun · 2:00 PM</t>
        </is>
      </c>
      <c r="H12" s="11" t="inlineStr">
        <is>
          <t>Los Angeles Stadium</t>
        </is>
      </c>
    </row>
    <row r="13">
      <c r="A13" s="10" t="n">
        <v>27</v>
      </c>
      <c r="B13" s="10" t="inlineStr">
        <is>
          <t>B</t>
        </is>
      </c>
      <c r="C13" s="11" t="inlineStr">
        <is>
          <t>Canadá</t>
        </is>
      </c>
      <c r="D13" s="12" t="n"/>
      <c r="E13" s="12" t="n"/>
      <c r="F13" s="11" t="inlineStr">
        <is>
          <t>Catar</t>
        </is>
      </c>
      <c r="G13" s="11" t="inlineStr">
        <is>
          <t>jue 18 jun · 5:00 PM</t>
        </is>
      </c>
      <c r="H13" s="11" t="inlineStr">
        <is>
          <t>BC Place Vancouver</t>
        </is>
      </c>
    </row>
    <row r="14">
      <c r="A14" s="10" t="n">
        <v>51</v>
      </c>
      <c r="B14" s="10" t="inlineStr">
        <is>
          <t>B</t>
        </is>
      </c>
      <c r="C14" s="11" t="inlineStr">
        <is>
          <t>Suiza</t>
        </is>
      </c>
      <c r="D14" s="12" t="n"/>
      <c r="E14" s="12" t="n"/>
      <c r="F14" s="11" t="inlineStr">
        <is>
          <t>Canadá</t>
        </is>
      </c>
      <c r="G14" s="11" t="inlineStr">
        <is>
          <t>mié 24 jun · 2:00 PM</t>
        </is>
      </c>
      <c r="H14" s="11" t="inlineStr">
        <is>
          <t>BC Place Vancouver</t>
        </is>
      </c>
    </row>
    <row r="15">
      <c r="A15" s="10" t="n">
        <v>52</v>
      </c>
      <c r="B15" s="10" t="inlineStr">
        <is>
          <t>B</t>
        </is>
      </c>
      <c r="C15" s="11" t="inlineStr">
        <is>
          <t>Bosnia</t>
        </is>
      </c>
      <c r="D15" s="12" t="n"/>
      <c r="E15" s="12" t="n"/>
      <c r="F15" s="11" t="inlineStr">
        <is>
          <t>Catar</t>
        </is>
      </c>
      <c r="G15" s="11" t="inlineStr">
        <is>
          <t>mié 24 jun · 2:00 PM</t>
        </is>
      </c>
      <c r="H15" s="11" t="inlineStr">
        <is>
          <t>Seattle Stadium</t>
        </is>
      </c>
    </row>
    <row r="17">
      <c r="A17" s="10" t="n">
        <v>7</v>
      </c>
      <c r="B17" s="10" t="inlineStr">
        <is>
          <t>C</t>
        </is>
      </c>
      <c r="C17" s="11" t="inlineStr">
        <is>
          <t>Brasil</t>
        </is>
      </c>
      <c r="D17" s="12" t="n"/>
      <c r="E17" s="12" t="n"/>
      <c r="F17" s="11" t="inlineStr">
        <is>
          <t>Marruecos</t>
        </is>
      </c>
      <c r="G17" s="11" t="inlineStr">
        <is>
          <t>sáb 13 jun · 5:00 PM</t>
        </is>
      </c>
      <c r="H17" s="11" t="inlineStr">
        <is>
          <t>New York/New Jersey Stadium</t>
        </is>
      </c>
    </row>
    <row r="18">
      <c r="A18" s="10" t="n">
        <v>5</v>
      </c>
      <c r="B18" s="10" t="inlineStr">
        <is>
          <t>C</t>
        </is>
      </c>
      <c r="C18" s="11" t="inlineStr">
        <is>
          <t>Haití</t>
        </is>
      </c>
      <c r="D18" s="12" t="n"/>
      <c r="E18" s="12" t="n"/>
      <c r="F18" s="11" t="inlineStr">
        <is>
          <t>Escocia</t>
        </is>
      </c>
      <c r="G18" s="11" t="inlineStr">
        <is>
          <t>sáb 13 jun · 8:00 PM</t>
        </is>
      </c>
      <c r="H18" s="11" t="inlineStr">
        <is>
          <t>Boston Stadium</t>
        </is>
      </c>
    </row>
    <row r="19">
      <c r="A19" s="10" t="n">
        <v>30</v>
      </c>
      <c r="B19" s="10" t="inlineStr">
        <is>
          <t>C</t>
        </is>
      </c>
      <c r="C19" s="11" t="inlineStr">
        <is>
          <t>Escocia</t>
        </is>
      </c>
      <c r="D19" s="12" t="n"/>
      <c r="E19" s="12" t="n"/>
      <c r="F19" s="11" t="inlineStr">
        <is>
          <t>Marruecos</t>
        </is>
      </c>
      <c r="G19" s="11" t="inlineStr">
        <is>
          <t>vie 19 jun · 5:00 PM</t>
        </is>
      </c>
      <c r="H19" s="11" t="inlineStr">
        <is>
          <t>Boston Stadium</t>
        </is>
      </c>
    </row>
    <row r="20">
      <c r="A20" s="10" t="n">
        <v>29</v>
      </c>
      <c r="B20" s="10" t="inlineStr">
        <is>
          <t>C</t>
        </is>
      </c>
      <c r="C20" s="11" t="inlineStr">
        <is>
          <t>Brasil</t>
        </is>
      </c>
      <c r="D20" s="12" t="n"/>
      <c r="E20" s="12" t="n"/>
      <c r="F20" s="11" t="inlineStr">
        <is>
          <t>Haití</t>
        </is>
      </c>
      <c r="G20" s="11" t="inlineStr">
        <is>
          <t>vie 19 jun · 8:00 PM</t>
        </is>
      </c>
      <c r="H20" s="11" t="inlineStr">
        <is>
          <t>Philadelphia Stadium</t>
        </is>
      </c>
    </row>
    <row r="21">
      <c r="A21" s="10" t="n">
        <v>49</v>
      </c>
      <c r="B21" s="10" t="inlineStr">
        <is>
          <t>C</t>
        </is>
      </c>
      <c r="C21" s="11" t="inlineStr">
        <is>
          <t>Escocia</t>
        </is>
      </c>
      <c r="D21" s="12" t="n"/>
      <c r="E21" s="12" t="n"/>
      <c r="F21" s="11" t="inlineStr">
        <is>
          <t>Brasil</t>
        </is>
      </c>
      <c r="G21" s="11" t="inlineStr">
        <is>
          <t>mié 24 jun · 5:00 PM</t>
        </is>
      </c>
      <c r="H21" s="11" t="inlineStr">
        <is>
          <t>Miami Stadium</t>
        </is>
      </c>
    </row>
    <row r="22">
      <c r="A22" s="10" t="n">
        <v>50</v>
      </c>
      <c r="B22" s="10" t="inlineStr">
        <is>
          <t>C</t>
        </is>
      </c>
      <c r="C22" s="11" t="inlineStr">
        <is>
          <t>Marruecos</t>
        </is>
      </c>
      <c r="D22" s="12" t="n"/>
      <c r="E22" s="12" t="n"/>
      <c r="F22" s="11" t="inlineStr">
        <is>
          <t>Haití</t>
        </is>
      </c>
      <c r="G22" s="11" t="inlineStr">
        <is>
          <t>mié 24 jun · 5:00 PM</t>
        </is>
      </c>
      <c r="H22" s="11" t="inlineStr">
        <is>
          <t>Atlanta Stadium</t>
        </is>
      </c>
    </row>
    <row r="24">
      <c r="A24" s="10" t="n">
        <v>4</v>
      </c>
      <c r="B24" s="10" t="inlineStr">
        <is>
          <t>D</t>
        </is>
      </c>
      <c r="C24" s="11" t="inlineStr">
        <is>
          <t>Estados Unidos</t>
        </is>
      </c>
      <c r="D24" s="12" t="n"/>
      <c r="E24" s="12" t="n"/>
      <c r="F24" s="11" t="inlineStr">
        <is>
          <t>Paraguay</t>
        </is>
      </c>
      <c r="G24" s="11" t="inlineStr">
        <is>
          <t>vie 12 jun · 8:00 PM</t>
        </is>
      </c>
      <c r="H24" s="11" t="inlineStr">
        <is>
          <t>Los Angeles Stadium</t>
        </is>
      </c>
    </row>
    <row r="25">
      <c r="A25" s="10" t="n">
        <v>6</v>
      </c>
      <c r="B25" s="10" t="inlineStr">
        <is>
          <t>D</t>
        </is>
      </c>
      <c r="C25" s="11" t="inlineStr">
        <is>
          <t>Australia</t>
        </is>
      </c>
      <c r="D25" s="12" t="n"/>
      <c r="E25" s="12" t="n"/>
      <c r="F25" s="11" t="inlineStr">
        <is>
          <t>Turquía</t>
        </is>
      </c>
      <c r="G25" s="11" t="inlineStr">
        <is>
          <t>sáb 13 jun · 11:00 PM</t>
        </is>
      </c>
      <c r="H25" s="11" t="inlineStr">
        <is>
          <t>BC Place Vancouver</t>
        </is>
      </c>
    </row>
    <row r="26">
      <c r="A26" s="10" t="n">
        <v>32</v>
      </c>
      <c r="B26" s="10" t="inlineStr">
        <is>
          <t>D</t>
        </is>
      </c>
      <c r="C26" s="11" t="inlineStr">
        <is>
          <t>Estados Unidos</t>
        </is>
      </c>
      <c r="D26" s="12" t="n"/>
      <c r="E26" s="12" t="n"/>
      <c r="F26" s="11" t="inlineStr">
        <is>
          <t>Australia</t>
        </is>
      </c>
      <c r="G26" s="11" t="inlineStr">
        <is>
          <t>vie 19 jun · 2:00 PM</t>
        </is>
      </c>
      <c r="H26" s="11" t="inlineStr">
        <is>
          <t>Seattle Stadium</t>
        </is>
      </c>
    </row>
    <row r="27">
      <c r="A27" s="10" t="n">
        <v>31</v>
      </c>
      <c r="B27" s="10" t="inlineStr">
        <is>
          <t>D</t>
        </is>
      </c>
      <c r="C27" s="11" t="inlineStr">
        <is>
          <t>Turquía</t>
        </is>
      </c>
      <c r="D27" s="12" t="n"/>
      <c r="E27" s="12" t="n"/>
      <c r="F27" s="11" t="inlineStr">
        <is>
          <t>Paraguay</t>
        </is>
      </c>
      <c r="G27" s="11" t="inlineStr">
        <is>
          <t>vie 19 jun · 11:00 PM</t>
        </is>
      </c>
      <c r="H27" s="11" t="inlineStr">
        <is>
          <t>San Francisco Bay Area Stadium</t>
        </is>
      </c>
    </row>
    <row r="28">
      <c r="A28" s="10" t="n">
        <v>59</v>
      </c>
      <c r="B28" s="10" t="inlineStr">
        <is>
          <t>D</t>
        </is>
      </c>
      <c r="C28" s="11" t="inlineStr">
        <is>
          <t>Turquía</t>
        </is>
      </c>
      <c r="D28" s="12" t="n"/>
      <c r="E28" s="12" t="n"/>
      <c r="F28" s="11" t="inlineStr">
        <is>
          <t>Estados Unidos</t>
        </is>
      </c>
      <c r="G28" s="11" t="inlineStr">
        <is>
          <t>jue 25 jun · 9:00 PM</t>
        </is>
      </c>
      <c r="H28" s="11" t="inlineStr">
        <is>
          <t>Los Angeles Stadium</t>
        </is>
      </c>
    </row>
    <row r="29">
      <c r="A29" s="10" t="n">
        <v>60</v>
      </c>
      <c r="B29" s="10" t="inlineStr">
        <is>
          <t>D</t>
        </is>
      </c>
      <c r="C29" s="11" t="inlineStr">
        <is>
          <t>Paraguay</t>
        </is>
      </c>
      <c r="D29" s="12" t="n"/>
      <c r="E29" s="12" t="n"/>
      <c r="F29" s="11" t="inlineStr">
        <is>
          <t>Australia</t>
        </is>
      </c>
      <c r="G29" s="11" t="inlineStr">
        <is>
          <t>jue 25 jun · 9:00 PM</t>
        </is>
      </c>
      <c r="H29" s="11" t="inlineStr">
        <is>
          <t>San Francisco Bay Area Stadium</t>
        </is>
      </c>
    </row>
    <row r="31">
      <c r="A31" s="10" t="n">
        <v>10</v>
      </c>
      <c r="B31" s="10" t="inlineStr">
        <is>
          <t>E</t>
        </is>
      </c>
      <c r="C31" s="11" t="inlineStr">
        <is>
          <t>Alemania</t>
        </is>
      </c>
      <c r="D31" s="12" t="n"/>
      <c r="E31" s="12" t="n"/>
      <c r="F31" s="11" t="inlineStr">
        <is>
          <t>Curazao</t>
        </is>
      </c>
      <c r="G31" s="11" t="inlineStr">
        <is>
          <t>dom 14 jun · 12:00 PM</t>
        </is>
      </c>
      <c r="H31" s="11" t="inlineStr">
        <is>
          <t>Houston Stadium</t>
        </is>
      </c>
    </row>
    <row r="32">
      <c r="A32" s="10" t="n">
        <v>9</v>
      </c>
      <c r="B32" s="10" t="inlineStr">
        <is>
          <t>E</t>
        </is>
      </c>
      <c r="C32" s="11" t="inlineStr">
        <is>
          <t>Costa de Marfil</t>
        </is>
      </c>
      <c r="D32" s="12" t="n"/>
      <c r="E32" s="12" t="n"/>
      <c r="F32" s="11" t="inlineStr">
        <is>
          <t>Ecuador</t>
        </is>
      </c>
      <c r="G32" s="11" t="inlineStr">
        <is>
          <t>dom 14 jun · 6:00 PM</t>
        </is>
      </c>
      <c r="H32" s="11" t="inlineStr">
        <is>
          <t>Philadelphia Stadium</t>
        </is>
      </c>
    </row>
    <row r="33">
      <c r="A33" s="10" t="n">
        <v>33</v>
      </c>
      <c r="B33" s="10" t="inlineStr">
        <is>
          <t>E</t>
        </is>
      </c>
      <c r="C33" s="11" t="inlineStr">
        <is>
          <t>Alemania</t>
        </is>
      </c>
      <c r="D33" s="12" t="n"/>
      <c r="E33" s="12" t="n"/>
      <c r="F33" s="11" t="inlineStr">
        <is>
          <t>Costa de Marfil</t>
        </is>
      </c>
      <c r="G33" s="11" t="inlineStr">
        <is>
          <t>sáb 20 jun · 3:00 PM</t>
        </is>
      </c>
      <c r="H33" s="11" t="inlineStr">
        <is>
          <t>Toronto Stadium</t>
        </is>
      </c>
    </row>
    <row r="34">
      <c r="A34" s="10" t="n">
        <v>34</v>
      </c>
      <c r="B34" s="10" t="inlineStr">
        <is>
          <t>E</t>
        </is>
      </c>
      <c r="C34" s="11" t="inlineStr">
        <is>
          <t>Ecuador</t>
        </is>
      </c>
      <c r="D34" s="12" t="n"/>
      <c r="E34" s="12" t="n"/>
      <c r="F34" s="11" t="inlineStr">
        <is>
          <t>Curazao</t>
        </is>
      </c>
      <c r="G34" s="11" t="inlineStr">
        <is>
          <t>sáb 20 jun · 7:00 PM</t>
        </is>
      </c>
      <c r="H34" s="11" t="inlineStr">
        <is>
          <t>Kansas City Stadium</t>
        </is>
      </c>
    </row>
    <row r="35">
      <c r="A35" s="10" t="n">
        <v>55</v>
      </c>
      <c r="B35" s="10" t="inlineStr">
        <is>
          <t>E</t>
        </is>
      </c>
      <c r="C35" s="11" t="inlineStr">
        <is>
          <t>Curazao</t>
        </is>
      </c>
      <c r="D35" s="12" t="n"/>
      <c r="E35" s="12" t="n"/>
      <c r="F35" s="11" t="inlineStr">
        <is>
          <t>Costa de Marfil</t>
        </is>
      </c>
      <c r="G35" s="11" t="inlineStr">
        <is>
          <t>jue 25 jun · 3:00 PM</t>
        </is>
      </c>
      <c r="H35" s="11" t="inlineStr">
        <is>
          <t>Philadelphia Stadium</t>
        </is>
      </c>
    </row>
    <row r="36">
      <c r="A36" s="10" t="n">
        <v>56</v>
      </c>
      <c r="B36" s="10" t="inlineStr">
        <is>
          <t>E</t>
        </is>
      </c>
      <c r="C36" s="11" t="inlineStr">
        <is>
          <t>Ecuador</t>
        </is>
      </c>
      <c r="D36" s="12" t="n"/>
      <c r="E36" s="12" t="n"/>
      <c r="F36" s="11" t="inlineStr">
        <is>
          <t>Alemania</t>
        </is>
      </c>
      <c r="G36" s="11" t="inlineStr">
        <is>
          <t>jue 25 jun · 3:00 PM</t>
        </is>
      </c>
      <c r="H36" s="11" t="inlineStr">
        <is>
          <t>New York/New Jersey Stadium</t>
        </is>
      </c>
    </row>
    <row r="38">
      <c r="A38" s="10" t="n">
        <v>11</v>
      </c>
      <c r="B38" s="10" t="inlineStr">
        <is>
          <t>F</t>
        </is>
      </c>
      <c r="C38" s="11" t="inlineStr">
        <is>
          <t>Países Bajos</t>
        </is>
      </c>
      <c r="D38" s="12" t="n"/>
      <c r="E38" s="12" t="n"/>
      <c r="F38" s="11" t="inlineStr">
        <is>
          <t>Japón</t>
        </is>
      </c>
      <c r="G38" s="11" t="inlineStr">
        <is>
          <t>dom 14 jun · 3:00 PM</t>
        </is>
      </c>
      <c r="H38" s="11" t="inlineStr">
        <is>
          <t>Dallas Stadium</t>
        </is>
      </c>
    </row>
    <row r="39">
      <c r="A39" s="10" t="n">
        <v>12</v>
      </c>
      <c r="B39" s="10" t="inlineStr">
        <is>
          <t>F</t>
        </is>
      </c>
      <c r="C39" s="11" t="inlineStr">
        <is>
          <t>Suecia</t>
        </is>
      </c>
      <c r="D39" s="12" t="n"/>
      <c r="E39" s="12" t="n"/>
      <c r="F39" s="11" t="inlineStr">
        <is>
          <t>Túnez</t>
        </is>
      </c>
      <c r="G39" s="11" t="inlineStr">
        <is>
          <t>dom 14 jun · 9:00 PM</t>
        </is>
      </c>
      <c r="H39" s="11" t="inlineStr">
        <is>
          <t>Monterrey Stadium</t>
        </is>
      </c>
    </row>
    <row r="40">
      <c r="A40" s="10" t="n">
        <v>35</v>
      </c>
      <c r="B40" s="10" t="inlineStr">
        <is>
          <t>F</t>
        </is>
      </c>
      <c r="C40" s="11" t="inlineStr">
        <is>
          <t>Países Bajos</t>
        </is>
      </c>
      <c r="D40" s="12" t="n"/>
      <c r="E40" s="12" t="n"/>
      <c r="F40" s="11" t="inlineStr">
        <is>
          <t>Suecia</t>
        </is>
      </c>
      <c r="G40" s="11" t="inlineStr">
        <is>
          <t>sáb 20 jun · 12:00 PM</t>
        </is>
      </c>
      <c r="H40" s="11" t="inlineStr">
        <is>
          <t>Houston Stadium</t>
        </is>
      </c>
    </row>
    <row r="41">
      <c r="A41" s="10" t="n">
        <v>36</v>
      </c>
      <c r="B41" s="10" t="inlineStr">
        <is>
          <t>F</t>
        </is>
      </c>
      <c r="C41" s="11" t="inlineStr">
        <is>
          <t>Túnez</t>
        </is>
      </c>
      <c r="D41" s="12" t="n"/>
      <c r="E41" s="12" t="n"/>
      <c r="F41" s="11" t="inlineStr">
        <is>
          <t>Japón</t>
        </is>
      </c>
      <c r="G41" s="11" t="inlineStr">
        <is>
          <t>sáb 20 jun · 11:00 PM</t>
        </is>
      </c>
      <c r="H41" s="11" t="inlineStr">
        <is>
          <t>Monterrey Stadium</t>
        </is>
      </c>
    </row>
    <row r="42">
      <c r="A42" s="10" t="n">
        <v>57</v>
      </c>
      <c r="B42" s="10" t="inlineStr">
        <is>
          <t>F</t>
        </is>
      </c>
      <c r="C42" s="11" t="inlineStr">
        <is>
          <t>Japón</t>
        </is>
      </c>
      <c r="D42" s="12" t="n"/>
      <c r="E42" s="12" t="n"/>
      <c r="F42" s="11" t="inlineStr">
        <is>
          <t>Suecia</t>
        </is>
      </c>
      <c r="G42" s="11" t="inlineStr">
        <is>
          <t>jue 25 jun · 6:00 PM</t>
        </is>
      </c>
      <c r="H42" s="11" t="inlineStr">
        <is>
          <t>Dallas Stadium</t>
        </is>
      </c>
    </row>
    <row r="43">
      <c r="A43" s="10" t="n">
        <v>58</v>
      </c>
      <c r="B43" s="10" t="inlineStr">
        <is>
          <t>F</t>
        </is>
      </c>
      <c r="C43" s="11" t="inlineStr">
        <is>
          <t>Túnez</t>
        </is>
      </c>
      <c r="D43" s="12" t="n"/>
      <c r="E43" s="12" t="n"/>
      <c r="F43" s="11" t="inlineStr">
        <is>
          <t>Países Bajos</t>
        </is>
      </c>
      <c r="G43" s="11" t="inlineStr">
        <is>
          <t>jue 25 jun · 6:00 PM</t>
        </is>
      </c>
      <c r="H43" s="11" t="inlineStr">
        <is>
          <t>Kansas City Stadium</t>
        </is>
      </c>
    </row>
    <row r="45">
      <c r="A45" s="10" t="n">
        <v>16</v>
      </c>
      <c r="B45" s="10" t="inlineStr">
        <is>
          <t>G</t>
        </is>
      </c>
      <c r="C45" s="11" t="inlineStr">
        <is>
          <t>Bélgica</t>
        </is>
      </c>
      <c r="D45" s="12" t="n"/>
      <c r="E45" s="12" t="n"/>
      <c r="F45" s="11" t="inlineStr">
        <is>
          <t>Egipto</t>
        </is>
      </c>
      <c r="G45" s="11" t="inlineStr">
        <is>
          <t>lun 15 jun · 2:00 PM</t>
        </is>
      </c>
      <c r="H45" s="11" t="inlineStr">
        <is>
          <t>Seattle Stadium</t>
        </is>
      </c>
    </row>
    <row r="46">
      <c r="A46" s="10" t="n">
        <v>15</v>
      </c>
      <c r="B46" s="10" t="inlineStr">
        <is>
          <t>G</t>
        </is>
      </c>
      <c r="C46" s="11" t="inlineStr">
        <is>
          <t>Irán</t>
        </is>
      </c>
      <c r="D46" s="12" t="n"/>
      <c r="E46" s="12" t="n"/>
      <c r="F46" s="11" t="inlineStr">
        <is>
          <t>Nueva Zelanda</t>
        </is>
      </c>
      <c r="G46" s="11" t="inlineStr">
        <is>
          <t>lun 15 jun · 8:00 PM</t>
        </is>
      </c>
      <c r="H46" s="11" t="inlineStr">
        <is>
          <t>Los Angeles Stadium</t>
        </is>
      </c>
    </row>
    <row r="47">
      <c r="A47" s="10" t="n">
        <v>39</v>
      </c>
      <c r="B47" s="10" t="inlineStr">
        <is>
          <t>G</t>
        </is>
      </c>
      <c r="C47" s="11" t="inlineStr">
        <is>
          <t>Bélgica</t>
        </is>
      </c>
      <c r="D47" s="12" t="n"/>
      <c r="E47" s="12" t="n"/>
      <c r="F47" s="11" t="inlineStr">
        <is>
          <t>Irán</t>
        </is>
      </c>
      <c r="G47" s="11" t="inlineStr">
        <is>
          <t>dom 21 jun · 2:00 PM</t>
        </is>
      </c>
      <c r="H47" s="11" t="inlineStr">
        <is>
          <t>Los Angeles Stadium</t>
        </is>
      </c>
    </row>
    <row r="48">
      <c r="A48" s="10" t="n">
        <v>40</v>
      </c>
      <c r="B48" s="10" t="inlineStr">
        <is>
          <t>G</t>
        </is>
      </c>
      <c r="C48" s="11" t="inlineStr">
        <is>
          <t>Nueva Zelanda</t>
        </is>
      </c>
      <c r="D48" s="12" t="n"/>
      <c r="E48" s="12" t="n"/>
      <c r="F48" s="11" t="inlineStr">
        <is>
          <t>Egipto</t>
        </is>
      </c>
      <c r="G48" s="11" t="inlineStr">
        <is>
          <t>dom 21 jun · 8:00 PM</t>
        </is>
      </c>
      <c r="H48" s="11" t="inlineStr">
        <is>
          <t>BC Place Vancouver</t>
        </is>
      </c>
    </row>
    <row r="49">
      <c r="A49" s="10" t="n">
        <v>63</v>
      </c>
      <c r="B49" s="10" t="inlineStr">
        <is>
          <t>G</t>
        </is>
      </c>
      <c r="C49" s="11" t="inlineStr">
        <is>
          <t>Egipto</t>
        </is>
      </c>
      <c r="D49" s="12" t="n"/>
      <c r="E49" s="12" t="n"/>
      <c r="F49" s="11" t="inlineStr">
        <is>
          <t>Irán</t>
        </is>
      </c>
      <c r="G49" s="11" t="inlineStr">
        <is>
          <t>vie 26 jun · 10:00 PM</t>
        </is>
      </c>
      <c r="H49" s="11" t="inlineStr">
        <is>
          <t>Seattle Stadium</t>
        </is>
      </c>
    </row>
    <row r="50">
      <c r="A50" s="10" t="n">
        <v>64</v>
      </c>
      <c r="B50" s="10" t="inlineStr">
        <is>
          <t>G</t>
        </is>
      </c>
      <c r="C50" s="11" t="inlineStr">
        <is>
          <t>Nueva Zelanda</t>
        </is>
      </c>
      <c r="D50" s="12" t="n"/>
      <c r="E50" s="12" t="n"/>
      <c r="F50" s="11" t="inlineStr">
        <is>
          <t>Bélgica</t>
        </is>
      </c>
      <c r="G50" s="11" t="inlineStr">
        <is>
          <t>vie 26 jun · 10:00 PM</t>
        </is>
      </c>
      <c r="H50" s="11" t="inlineStr">
        <is>
          <t>BC Place Vancouver</t>
        </is>
      </c>
    </row>
    <row r="52">
      <c r="A52" s="10" t="n">
        <v>14</v>
      </c>
      <c r="B52" s="10" t="inlineStr">
        <is>
          <t>H</t>
        </is>
      </c>
      <c r="C52" s="11" t="inlineStr">
        <is>
          <t>España</t>
        </is>
      </c>
      <c r="D52" s="12" t="n"/>
      <c r="E52" s="12" t="n"/>
      <c r="F52" s="11" t="inlineStr">
        <is>
          <t>Cabo Verde</t>
        </is>
      </c>
      <c r="G52" s="11" t="inlineStr">
        <is>
          <t>lun 15 jun · 11:00 AM</t>
        </is>
      </c>
      <c r="H52" s="11" t="inlineStr">
        <is>
          <t>Atlanta Stadium</t>
        </is>
      </c>
    </row>
    <row r="53">
      <c r="A53" s="10" t="n">
        <v>13</v>
      </c>
      <c r="B53" s="10" t="inlineStr">
        <is>
          <t>H</t>
        </is>
      </c>
      <c r="C53" s="11" t="inlineStr">
        <is>
          <t>Arabia Saudita</t>
        </is>
      </c>
      <c r="D53" s="12" t="n"/>
      <c r="E53" s="12" t="n"/>
      <c r="F53" s="11" t="inlineStr">
        <is>
          <t>Uruguay</t>
        </is>
      </c>
      <c r="G53" s="11" t="inlineStr">
        <is>
          <t>lun 15 jun · 5:00 PM</t>
        </is>
      </c>
      <c r="H53" s="11" t="inlineStr">
        <is>
          <t>Miami Stadium</t>
        </is>
      </c>
    </row>
    <row r="54">
      <c r="A54" s="10" t="n">
        <v>38</v>
      </c>
      <c r="B54" s="10" t="inlineStr">
        <is>
          <t>H</t>
        </is>
      </c>
      <c r="C54" s="11" t="inlineStr">
        <is>
          <t>España</t>
        </is>
      </c>
      <c r="D54" s="12" t="n"/>
      <c r="E54" s="12" t="n"/>
      <c r="F54" s="11" t="inlineStr">
        <is>
          <t>Arabia Saudita</t>
        </is>
      </c>
      <c r="G54" s="11" t="inlineStr">
        <is>
          <t>dom 21 jun · 11:00 AM</t>
        </is>
      </c>
      <c r="H54" s="11" t="inlineStr">
        <is>
          <t>Atlanta Stadium</t>
        </is>
      </c>
    </row>
    <row r="55">
      <c r="A55" s="10" t="n">
        <v>37</v>
      </c>
      <c r="B55" s="10" t="inlineStr">
        <is>
          <t>H</t>
        </is>
      </c>
      <c r="C55" s="11" t="inlineStr">
        <is>
          <t>Uruguay</t>
        </is>
      </c>
      <c r="D55" s="12" t="n"/>
      <c r="E55" s="12" t="n"/>
      <c r="F55" s="11" t="inlineStr">
        <is>
          <t>Cabo Verde</t>
        </is>
      </c>
      <c r="G55" s="11" t="inlineStr">
        <is>
          <t>dom 21 jun · 5:00 PM</t>
        </is>
      </c>
      <c r="H55" s="11" t="inlineStr">
        <is>
          <t>Miami Stadium</t>
        </is>
      </c>
    </row>
    <row r="56">
      <c r="A56" s="10" t="n">
        <v>65</v>
      </c>
      <c r="B56" s="10" t="inlineStr">
        <is>
          <t>H</t>
        </is>
      </c>
      <c r="C56" s="11" t="inlineStr">
        <is>
          <t>Cabo Verde</t>
        </is>
      </c>
      <c r="D56" s="12" t="n"/>
      <c r="E56" s="12" t="n"/>
      <c r="F56" s="11" t="inlineStr">
        <is>
          <t>Arabia Saudita</t>
        </is>
      </c>
      <c r="G56" s="11" t="inlineStr">
        <is>
          <t>vie 26 jun · 7:00 PM</t>
        </is>
      </c>
      <c r="H56" s="11" t="inlineStr">
        <is>
          <t>Houston Stadium</t>
        </is>
      </c>
    </row>
    <row r="57">
      <c r="A57" s="10" t="n">
        <v>66</v>
      </c>
      <c r="B57" s="10" t="inlineStr">
        <is>
          <t>H</t>
        </is>
      </c>
      <c r="C57" s="11" t="inlineStr">
        <is>
          <t>Uruguay</t>
        </is>
      </c>
      <c r="D57" s="12" t="n"/>
      <c r="E57" s="12" t="n"/>
      <c r="F57" s="11" t="inlineStr">
        <is>
          <t>España</t>
        </is>
      </c>
      <c r="G57" s="11" t="inlineStr">
        <is>
          <t>vie 26 jun · 7:00 PM</t>
        </is>
      </c>
      <c r="H57" s="11" t="inlineStr">
        <is>
          <t>Guadalajara Stadium</t>
        </is>
      </c>
    </row>
    <row r="59">
      <c r="A59" s="10" t="n">
        <v>17</v>
      </c>
      <c r="B59" s="10" t="inlineStr">
        <is>
          <t>I</t>
        </is>
      </c>
      <c r="C59" s="11" t="inlineStr">
        <is>
          <t>Francia</t>
        </is>
      </c>
      <c r="D59" s="12" t="n"/>
      <c r="E59" s="12" t="n"/>
      <c r="F59" s="11" t="inlineStr">
        <is>
          <t>Senegal</t>
        </is>
      </c>
      <c r="G59" s="11" t="inlineStr">
        <is>
          <t>mar 16 jun · 2:00 PM</t>
        </is>
      </c>
      <c r="H59" s="11" t="inlineStr">
        <is>
          <t>New York/New Jersey Stadium</t>
        </is>
      </c>
    </row>
    <row r="60">
      <c r="A60" s="10" t="n">
        <v>18</v>
      </c>
      <c r="B60" s="10" t="inlineStr">
        <is>
          <t>I</t>
        </is>
      </c>
      <c r="C60" s="11" t="inlineStr">
        <is>
          <t>Irak</t>
        </is>
      </c>
      <c r="D60" s="12" t="n"/>
      <c r="E60" s="12" t="n"/>
      <c r="F60" s="11" t="inlineStr">
        <is>
          <t>Noruega</t>
        </is>
      </c>
      <c r="G60" s="11" t="inlineStr">
        <is>
          <t>mar 16 jun · 5:00 PM</t>
        </is>
      </c>
      <c r="H60" s="11" t="inlineStr">
        <is>
          <t>Boston Stadium</t>
        </is>
      </c>
    </row>
    <row r="61">
      <c r="A61" s="10" t="n">
        <v>42</v>
      </c>
      <c r="B61" s="10" t="inlineStr">
        <is>
          <t>I</t>
        </is>
      </c>
      <c r="C61" s="11" t="inlineStr">
        <is>
          <t>Francia</t>
        </is>
      </c>
      <c r="D61" s="12" t="n"/>
      <c r="E61" s="12" t="n"/>
      <c r="F61" s="11" t="inlineStr">
        <is>
          <t>Irak</t>
        </is>
      </c>
      <c r="G61" s="11" t="inlineStr">
        <is>
          <t>lun 22 jun · 4:00 PM</t>
        </is>
      </c>
      <c r="H61" s="11" t="inlineStr">
        <is>
          <t>Philadelphia Stadium</t>
        </is>
      </c>
    </row>
    <row r="62">
      <c r="A62" s="10" t="n">
        <v>41</v>
      </c>
      <c r="B62" s="10" t="inlineStr">
        <is>
          <t>I</t>
        </is>
      </c>
      <c r="C62" s="11" t="inlineStr">
        <is>
          <t>Noruega</t>
        </is>
      </c>
      <c r="D62" s="12" t="n"/>
      <c r="E62" s="12" t="n"/>
      <c r="F62" s="11" t="inlineStr">
        <is>
          <t>Senegal</t>
        </is>
      </c>
      <c r="G62" s="11" t="inlineStr">
        <is>
          <t>lun 22 jun · 7:00 PM</t>
        </is>
      </c>
      <c r="H62" s="11" t="inlineStr">
        <is>
          <t>New York/New Jersey Stadium</t>
        </is>
      </c>
    </row>
    <row r="63">
      <c r="A63" s="10" t="n">
        <v>61</v>
      </c>
      <c r="B63" s="10" t="inlineStr">
        <is>
          <t>I</t>
        </is>
      </c>
      <c r="C63" s="11" t="inlineStr">
        <is>
          <t>Noruega</t>
        </is>
      </c>
      <c r="D63" s="12" t="n"/>
      <c r="E63" s="12" t="n"/>
      <c r="F63" s="11" t="inlineStr">
        <is>
          <t>Francia</t>
        </is>
      </c>
      <c r="G63" s="11" t="inlineStr">
        <is>
          <t>vie 26 jun · 2:00 PM</t>
        </is>
      </c>
      <c r="H63" s="11" t="inlineStr">
        <is>
          <t>Boston Stadium</t>
        </is>
      </c>
    </row>
    <row r="64">
      <c r="A64" s="10" t="n">
        <v>62</v>
      </c>
      <c r="B64" s="10" t="inlineStr">
        <is>
          <t>I</t>
        </is>
      </c>
      <c r="C64" s="11" t="inlineStr">
        <is>
          <t>Senegal</t>
        </is>
      </c>
      <c r="D64" s="12" t="n"/>
      <c r="E64" s="12" t="n"/>
      <c r="F64" s="11" t="inlineStr">
        <is>
          <t>Irak</t>
        </is>
      </c>
      <c r="G64" s="11" t="inlineStr">
        <is>
          <t>vie 26 jun · 2:00 PM</t>
        </is>
      </c>
      <c r="H64" s="11" t="inlineStr">
        <is>
          <t>Toronto Stadium</t>
        </is>
      </c>
    </row>
    <row r="66">
      <c r="A66" s="10" t="n">
        <v>19</v>
      </c>
      <c r="B66" s="10" t="inlineStr">
        <is>
          <t>J</t>
        </is>
      </c>
      <c r="C66" s="11" t="inlineStr">
        <is>
          <t>Argentina</t>
        </is>
      </c>
      <c r="D66" s="12" t="n"/>
      <c r="E66" s="12" t="n"/>
      <c r="F66" s="11" t="inlineStr">
        <is>
          <t>Argelia</t>
        </is>
      </c>
      <c r="G66" s="11" t="inlineStr">
        <is>
          <t>mar 16 jun · 8:00 PM</t>
        </is>
      </c>
      <c r="H66" s="11" t="inlineStr">
        <is>
          <t>Kansas City Stadium</t>
        </is>
      </c>
    </row>
    <row r="67">
      <c r="A67" s="10" t="n">
        <v>20</v>
      </c>
      <c r="B67" s="10" t="inlineStr">
        <is>
          <t>J</t>
        </is>
      </c>
      <c r="C67" s="11" t="inlineStr">
        <is>
          <t>Austria</t>
        </is>
      </c>
      <c r="D67" s="12" t="n"/>
      <c r="E67" s="12" t="n"/>
      <c r="F67" s="11" t="inlineStr">
        <is>
          <t>Jordania</t>
        </is>
      </c>
      <c r="G67" s="11" t="inlineStr">
        <is>
          <t>mar 16 jun · 11:00 PM</t>
        </is>
      </c>
      <c r="H67" s="11" t="inlineStr">
        <is>
          <t>San Francisco Bay Area Stadium</t>
        </is>
      </c>
    </row>
    <row r="68">
      <c r="A68" s="10" t="n">
        <v>43</v>
      </c>
      <c r="B68" s="10" t="inlineStr">
        <is>
          <t>J</t>
        </is>
      </c>
      <c r="C68" s="11" t="inlineStr">
        <is>
          <t>Argentina</t>
        </is>
      </c>
      <c r="D68" s="12" t="n"/>
      <c r="E68" s="12" t="n"/>
      <c r="F68" s="11" t="inlineStr">
        <is>
          <t>Austria</t>
        </is>
      </c>
      <c r="G68" s="11" t="inlineStr">
        <is>
          <t>lun 22 jun · 12:00 PM</t>
        </is>
      </c>
      <c r="H68" s="11" t="inlineStr">
        <is>
          <t>Dallas Stadium</t>
        </is>
      </c>
    </row>
    <row r="69">
      <c r="A69" s="10" t="n">
        <v>44</v>
      </c>
      <c r="B69" s="10" t="inlineStr">
        <is>
          <t>J</t>
        </is>
      </c>
      <c r="C69" s="11" t="inlineStr">
        <is>
          <t>Jordania</t>
        </is>
      </c>
      <c r="D69" s="12" t="n"/>
      <c r="E69" s="12" t="n"/>
      <c r="F69" s="11" t="inlineStr">
        <is>
          <t>Argelia</t>
        </is>
      </c>
      <c r="G69" s="11" t="inlineStr">
        <is>
          <t>lun 22 jun · 10:00 PM</t>
        </is>
      </c>
      <c r="H69" s="11" t="inlineStr">
        <is>
          <t>San Francisco Bay Area Stadium</t>
        </is>
      </c>
    </row>
    <row r="70">
      <c r="A70" s="10" t="n">
        <v>69</v>
      </c>
      <c r="B70" s="10" t="inlineStr">
        <is>
          <t>J</t>
        </is>
      </c>
      <c r="C70" s="11" t="inlineStr">
        <is>
          <t>Argelia</t>
        </is>
      </c>
      <c r="D70" s="12" t="n"/>
      <c r="E70" s="12" t="n"/>
      <c r="F70" s="11" t="inlineStr">
        <is>
          <t>Austria</t>
        </is>
      </c>
      <c r="G70" s="11" t="inlineStr">
        <is>
          <t>sáb 27 jun · 9:00 PM</t>
        </is>
      </c>
      <c r="H70" s="11" t="inlineStr">
        <is>
          <t>Kansas City Stadium</t>
        </is>
      </c>
    </row>
    <row r="71">
      <c r="A71" s="10" t="n">
        <v>70</v>
      </c>
      <c r="B71" s="10" t="inlineStr">
        <is>
          <t>J</t>
        </is>
      </c>
      <c r="C71" s="11" t="inlineStr">
        <is>
          <t>Jordania</t>
        </is>
      </c>
      <c r="D71" s="12" t="n"/>
      <c r="E71" s="12" t="n"/>
      <c r="F71" s="11" t="inlineStr">
        <is>
          <t>Argentina</t>
        </is>
      </c>
      <c r="G71" s="11" t="inlineStr">
        <is>
          <t>sáb 27 jun · 9:00 PM</t>
        </is>
      </c>
      <c r="H71" s="11" t="inlineStr">
        <is>
          <t>Dallas Stadium</t>
        </is>
      </c>
    </row>
    <row r="73">
      <c r="A73" s="10" t="n">
        <v>23</v>
      </c>
      <c r="B73" s="10" t="inlineStr">
        <is>
          <t>K</t>
        </is>
      </c>
      <c r="C73" s="11" t="inlineStr">
        <is>
          <t>Portugal</t>
        </is>
      </c>
      <c r="D73" s="12" t="n"/>
      <c r="E73" s="12" t="n"/>
      <c r="F73" s="11" t="inlineStr">
        <is>
          <t>RD Congo</t>
        </is>
      </c>
      <c r="G73" s="11" t="inlineStr">
        <is>
          <t>mié 17 jun · 12:00 PM</t>
        </is>
      </c>
      <c r="H73" s="11" t="inlineStr">
        <is>
          <t>Houston Stadium</t>
        </is>
      </c>
    </row>
    <row r="74">
      <c r="A74" s="13" t="n">
        <v>24</v>
      </c>
      <c r="B74" s="13" t="inlineStr">
        <is>
          <t>K</t>
        </is>
      </c>
      <c r="C74" s="14" t="inlineStr">
        <is>
          <t>Uzbekistán</t>
        </is>
      </c>
      <c r="D74" s="12" t="n"/>
      <c r="E74" s="12" t="n"/>
      <c r="F74" s="14" t="inlineStr">
        <is>
          <t>Colombia</t>
        </is>
      </c>
      <c r="G74" s="14" t="inlineStr">
        <is>
          <t>mié 17 jun · 9:00 PM</t>
        </is>
      </c>
      <c r="H74" s="14" t="inlineStr">
        <is>
          <t>Mexico City Stadium</t>
        </is>
      </c>
    </row>
    <row r="75">
      <c r="A75" s="10" t="n">
        <v>47</v>
      </c>
      <c r="B75" s="10" t="inlineStr">
        <is>
          <t>K</t>
        </is>
      </c>
      <c r="C75" s="11" t="inlineStr">
        <is>
          <t>Portugal</t>
        </is>
      </c>
      <c r="D75" s="12" t="n"/>
      <c r="E75" s="12" t="n"/>
      <c r="F75" s="11" t="inlineStr">
        <is>
          <t>Uzbekistán</t>
        </is>
      </c>
      <c r="G75" s="11" t="inlineStr">
        <is>
          <t>mar 23 jun · 12:00 PM</t>
        </is>
      </c>
      <c r="H75" s="11" t="inlineStr">
        <is>
          <t>Houston Stadium</t>
        </is>
      </c>
    </row>
    <row r="76">
      <c r="A76" s="13" t="n">
        <v>48</v>
      </c>
      <c r="B76" s="13" t="inlineStr">
        <is>
          <t>K</t>
        </is>
      </c>
      <c r="C76" s="14" t="inlineStr">
        <is>
          <t>Colombia</t>
        </is>
      </c>
      <c r="D76" s="12" t="n"/>
      <c r="E76" s="12" t="n"/>
      <c r="F76" s="14" t="inlineStr">
        <is>
          <t>RD Congo</t>
        </is>
      </c>
      <c r="G76" s="14" t="inlineStr">
        <is>
          <t>mar 23 jun · 9:00 PM</t>
        </is>
      </c>
      <c r="H76" s="14" t="inlineStr">
        <is>
          <t>Guadalajara Stadium</t>
        </is>
      </c>
    </row>
    <row r="77">
      <c r="A77" s="13" t="n">
        <v>71</v>
      </c>
      <c r="B77" s="13" t="inlineStr">
        <is>
          <t>K</t>
        </is>
      </c>
      <c r="C77" s="14" t="inlineStr">
        <is>
          <t>Colombia</t>
        </is>
      </c>
      <c r="D77" s="12" t="n"/>
      <c r="E77" s="12" t="n"/>
      <c r="F77" s="14" t="inlineStr">
        <is>
          <t>Portugal</t>
        </is>
      </c>
      <c r="G77" s="14" t="inlineStr">
        <is>
          <t>sáb 27 jun · 6:30 PM</t>
        </is>
      </c>
      <c r="H77" s="14" t="inlineStr">
        <is>
          <t>Miami Stadium</t>
        </is>
      </c>
    </row>
    <row r="78">
      <c r="A78" s="10" t="n">
        <v>72</v>
      </c>
      <c r="B78" s="10" t="inlineStr">
        <is>
          <t>K</t>
        </is>
      </c>
      <c r="C78" s="11" t="inlineStr">
        <is>
          <t>RD Congo</t>
        </is>
      </c>
      <c r="D78" s="12" t="n"/>
      <c r="E78" s="12" t="n"/>
      <c r="F78" s="11" t="inlineStr">
        <is>
          <t>Uzbekistán</t>
        </is>
      </c>
      <c r="G78" s="11" t="inlineStr">
        <is>
          <t>sáb 27 jun · 6:30 PM</t>
        </is>
      </c>
      <c r="H78" s="11" t="inlineStr">
        <is>
          <t>Atlanta Stadium</t>
        </is>
      </c>
    </row>
    <row r="80">
      <c r="A80" s="10" t="n">
        <v>22</v>
      </c>
      <c r="B80" s="10" t="inlineStr">
        <is>
          <t>L</t>
        </is>
      </c>
      <c r="C80" s="11" t="inlineStr">
        <is>
          <t>Inglaterra</t>
        </is>
      </c>
      <c r="D80" s="12" t="n"/>
      <c r="E80" s="12" t="n"/>
      <c r="F80" s="11" t="inlineStr">
        <is>
          <t>Croacia</t>
        </is>
      </c>
      <c r="G80" s="11" t="inlineStr">
        <is>
          <t>mié 17 jun · 3:00 PM</t>
        </is>
      </c>
      <c r="H80" s="11" t="inlineStr">
        <is>
          <t>Dallas Stadium</t>
        </is>
      </c>
    </row>
    <row r="81">
      <c r="A81" s="10" t="n">
        <v>21</v>
      </c>
      <c r="B81" s="10" t="inlineStr">
        <is>
          <t>L</t>
        </is>
      </c>
      <c r="C81" s="11" t="inlineStr">
        <is>
          <t>Ghana</t>
        </is>
      </c>
      <c r="D81" s="12" t="n"/>
      <c r="E81" s="12" t="n"/>
      <c r="F81" s="11" t="inlineStr">
        <is>
          <t>Panamá</t>
        </is>
      </c>
      <c r="G81" s="11" t="inlineStr">
        <is>
          <t>mié 17 jun · 6:00 PM</t>
        </is>
      </c>
      <c r="H81" s="11" t="inlineStr">
        <is>
          <t>Toronto Stadium</t>
        </is>
      </c>
    </row>
    <row r="82">
      <c r="A82" s="10" t="n">
        <v>45</v>
      </c>
      <c r="B82" s="10" t="inlineStr">
        <is>
          <t>L</t>
        </is>
      </c>
      <c r="C82" s="11" t="inlineStr">
        <is>
          <t>Inglaterra</t>
        </is>
      </c>
      <c r="D82" s="12" t="n"/>
      <c r="E82" s="12" t="n"/>
      <c r="F82" s="11" t="inlineStr">
        <is>
          <t>Ghana</t>
        </is>
      </c>
      <c r="G82" s="11" t="inlineStr">
        <is>
          <t>mar 23 jun · 3:00 PM</t>
        </is>
      </c>
      <c r="H82" s="11" t="inlineStr">
        <is>
          <t>Boston Stadium</t>
        </is>
      </c>
    </row>
    <row r="83">
      <c r="A83" s="10" t="n">
        <v>46</v>
      </c>
      <c r="B83" s="10" t="inlineStr">
        <is>
          <t>L</t>
        </is>
      </c>
      <c r="C83" s="11" t="inlineStr">
        <is>
          <t>Panamá</t>
        </is>
      </c>
      <c r="D83" s="12" t="n"/>
      <c r="E83" s="12" t="n"/>
      <c r="F83" s="11" t="inlineStr">
        <is>
          <t>Croacia</t>
        </is>
      </c>
      <c r="G83" s="11" t="inlineStr">
        <is>
          <t>mar 23 jun · 6:00 PM</t>
        </is>
      </c>
      <c r="H83" s="11" t="inlineStr">
        <is>
          <t>Toronto Stadium</t>
        </is>
      </c>
    </row>
    <row r="84">
      <c r="A84" s="10" t="n">
        <v>67</v>
      </c>
      <c r="B84" s="10" t="inlineStr">
        <is>
          <t>L</t>
        </is>
      </c>
      <c r="C84" s="11" t="inlineStr">
        <is>
          <t>Panamá</t>
        </is>
      </c>
      <c r="D84" s="12" t="n"/>
      <c r="E84" s="12" t="n"/>
      <c r="F84" s="11" t="inlineStr">
        <is>
          <t>Inglaterra</t>
        </is>
      </c>
      <c r="G84" s="11" t="inlineStr">
        <is>
          <t>sáb 27 jun · 4:00 PM</t>
        </is>
      </c>
      <c r="H84" s="11" t="inlineStr">
        <is>
          <t>New York/New Jersey Stadium</t>
        </is>
      </c>
    </row>
    <row r="85">
      <c r="A85" s="10" t="n">
        <v>68</v>
      </c>
      <c r="B85" s="10" t="inlineStr">
        <is>
          <t>L</t>
        </is>
      </c>
      <c r="C85" s="11" t="inlineStr">
        <is>
          <t>Croacia</t>
        </is>
      </c>
      <c r="D85" s="12" t="n"/>
      <c r="E85" s="12" t="n"/>
      <c r="F85" s="11" t="inlineStr">
        <is>
          <t>Ghana</t>
        </is>
      </c>
      <c r="G85" s="11" t="inlineStr">
        <is>
          <t>sáb 27 jun · 4:00 PM</t>
        </is>
      </c>
      <c r="H85" s="11" t="inlineStr">
        <is>
          <t>Philadelphia Stadium</t>
        </is>
      </c>
    </row>
  </sheetData>
  <dataValidations count="1">
    <dataValidation sqref="D3 D4 D5 D6 D7 D8 D10 D11 D12 D13 D14 D15 D17 D18 D19 D20 D21 D22 D24 D25 D26 D27 D28 D29 D31 D32 D33 D34 D35 D36 D38 D39 D40 D41 D42 D43 D45 D46 D47 D48 D49 D50 D52 D53 D54 D55 D56 D57 D59 D60 D61 D62 D63 D64 D66 D67 D68 D69 D70 D71 D73 D74 D75 D76 D77 D78 D80 D81 D82 D83 D84 D85 E3 E4 E5 E6 E7 E8 E10 E11 E12 E13 E14 E15 E17 E18 E19 E20 E21 E22 E24 E25 E26 E27 E28 E29 E31 E32 E33 E34 E35 E36 E38 E39 E40 E41 E42 E43 E45 E46 E47 E48 E49 E50 E52 E53 E54 E55 E56 E57 E59 E60 E61 E62 E63 E64 E66 E67 E68 E69 E70 E71 E73 E74 E75 E76 E77 E78 E80 E81 E82 E83 E84 E85" showDropDown="0" showInputMessage="0" showErrorMessage="0" allowBlank="0" errorTitle="¿Tantos goles?" error="Entre 0 y 15, parcero 😅" type="whole" operator="between">
      <formula1>0</formula1>
      <formula2>15</formula2>
    </dataValidation>
  </dataValidations>
  <pageMargins left="0.75" right="0.75" top="1" bottom="1" header="0.5" footer="0.5"/>
</worksheet>
</file>

<file path=xl/worksheets/sheet3.xml><?xml version="1.0" encoding="utf-8"?>
<worksheet xmlns="http://schemas.openxmlformats.org/spreadsheetml/2006/main">
  <sheetPr>
    <tabColor rgb="003447D6"/>
    <outlinePr summaryBelow="1" summaryRight="1"/>
    <pageSetUpPr/>
  </sheetPr>
  <dimension ref="A1:J84"/>
  <sheetViews>
    <sheetView workbookViewId="0">
      <selection activeCell="A1" sqref="A1"/>
    </sheetView>
  </sheetViews>
  <sheetFormatPr baseColWidth="8" defaultRowHeight="15"/>
  <cols>
    <col width="5" customWidth="1" min="1" max="1"/>
    <col width="20" customWidth="1" min="2" max="2"/>
    <col width="5" customWidth="1" min="3" max="3"/>
    <col width="5" customWidth="1" min="4" max="4"/>
    <col width="5" customWidth="1" min="5" max="5"/>
    <col width="5" customWidth="1" min="6" max="6"/>
    <col width="6" customWidth="1" min="7" max="7"/>
    <col width="6" customWidth="1" min="8" max="8"/>
    <col width="6" customWidth="1" min="9" max="9"/>
    <col width="6" customWidth="1" min="10" max="10"/>
  </cols>
  <sheetData>
    <row r="1">
      <c r="A1" s="8" t="inlineStr">
        <is>
          <t>📊 TABLAS DE POSICIONES — se llenan solas con los goles de la hoja anterior. Verde = clasifica 1º/2º.</t>
        </is>
      </c>
    </row>
    <row r="2">
      <c r="A2" s="15" t="inlineStr">
        <is>
          <t>GRUPO A</t>
        </is>
      </c>
      <c r="B2" s="16" t="n"/>
      <c r="C2" s="16" t="n"/>
      <c r="D2" s="16" t="n"/>
      <c r="E2" s="16" t="n"/>
      <c r="F2" s="16" t="n"/>
      <c r="G2" s="16" t="n"/>
      <c r="H2" s="16" t="n"/>
      <c r="I2" s="16" t="n"/>
      <c r="J2" s="16" t="n"/>
    </row>
    <row r="3">
      <c r="A3" s="9" t="inlineStr">
        <is>
          <t>POS</t>
        </is>
      </c>
      <c r="B3" s="9" t="inlineStr">
        <is>
          <t>EQUIPO</t>
        </is>
      </c>
      <c r="C3" s="9" t="inlineStr">
        <is>
          <t>PJ</t>
        </is>
      </c>
      <c r="D3" s="9" t="inlineStr">
        <is>
          <t>G</t>
        </is>
      </c>
      <c r="E3" s="9" t="inlineStr">
        <is>
          <t>E</t>
        </is>
      </c>
      <c r="F3" s="9" t="inlineStr">
        <is>
          <t>P</t>
        </is>
      </c>
      <c r="G3" s="9" t="inlineStr">
        <is>
          <t>GF</t>
        </is>
      </c>
      <c r="H3" s="9" t="inlineStr">
        <is>
          <t>GC</t>
        </is>
      </c>
      <c r="I3" s="9" t="inlineStr">
        <is>
          <t>DIF</t>
        </is>
      </c>
      <c r="J3" s="9" t="inlineStr">
        <is>
          <t>PTS</t>
        </is>
      </c>
    </row>
    <row r="4">
      <c r="A4" s="17">
        <f>1+SUMPRODUCT(($J$4:$J$7&gt;$J$4)*1)+SUMPRODUCT(($J$4:$J$7=$J$4)*($I$4:$I$7&gt;$I$4)*1)+SUMPRODUCT(($J$4:$J$7=$J$4)*($I$4:$I$7=$I$4)*($G$4:$G$7&gt;$G$4)*1)</f>
        <v/>
      </c>
      <c r="B4" s="18" t="inlineStr">
        <is>
          <t>México</t>
        </is>
      </c>
      <c r="C4" s="10">
        <f>SUMPRODUCT(('FASE DE GRUPOS'!$C$3:$C$8=$B$4)*('FASE DE GRUPOS'!$D$3:$D$8&lt;&gt;""))+SUMPRODUCT(('FASE DE GRUPOS'!$F$3:$F$8=$B$4)*('FASE DE GRUPOS'!$E$3:$E$8&lt;&gt;""))</f>
        <v/>
      </c>
      <c r="D4" s="10">
        <f>SUMPRODUCT(('FASE DE GRUPOS'!$C$3:$C$8=$B$4)*('FASE DE GRUPOS'!$D$3:$D$8&gt;'FASE DE GRUPOS'!$E$3:$E$8)*('FASE DE GRUPOS'!$D$3:$D$8&lt;&gt;""))+SUMPRODUCT(('FASE DE GRUPOS'!$F$3:$F$8=$B$4)*('FASE DE GRUPOS'!$E$3:$E$8&gt;'FASE DE GRUPOS'!$D$3:$D$8)*('FASE DE GRUPOS'!$E$3:$E$8&lt;&gt;""))</f>
        <v/>
      </c>
      <c r="E4" s="10">
        <f>SUMPRODUCT(('FASE DE GRUPOS'!$C$3:$C$8=$B$4)*('FASE DE GRUPOS'!$D$3:$D$8='FASE DE GRUPOS'!$E$3:$E$8)*('FASE DE GRUPOS'!$D$3:$D$8&lt;&gt;""))+SUMPRODUCT(('FASE DE GRUPOS'!$F$3:$F$8=$B$4)*('FASE DE GRUPOS'!$E$3:$E$8='FASE DE GRUPOS'!$D$3:$D$8)*('FASE DE GRUPOS'!$E$3:$E$8&lt;&gt;""))</f>
        <v/>
      </c>
      <c r="F4" s="10">
        <f>$C$4-$D$4-$E$4</f>
        <v/>
      </c>
      <c r="G4" s="10">
        <f>SUMPRODUCT(('FASE DE GRUPOS'!$C$3:$C$8=$B$4)*'FASE DE GRUPOS'!$D$3:$D$8)+SUMPRODUCT(('FASE DE GRUPOS'!$F$3:$F$8=$B$4)*'FASE DE GRUPOS'!$E$3:$E$8)</f>
        <v/>
      </c>
      <c r="H4" s="10">
        <f>SUMPRODUCT(('FASE DE GRUPOS'!$C$3:$C$8=$B$4)*'FASE DE GRUPOS'!$E$3:$E$8)+SUMPRODUCT(('FASE DE GRUPOS'!$F$3:$F$8=$B$4)*'FASE DE GRUPOS'!$D$3:$D$8)</f>
        <v/>
      </c>
      <c r="I4" s="10">
        <f>$G$4-$H$4</f>
        <v/>
      </c>
      <c r="J4" s="19">
        <f>3*$D$4+$E$4</f>
        <v/>
      </c>
    </row>
    <row r="5">
      <c r="A5" s="17">
        <f>1+SUMPRODUCT(($J$4:$J$7&gt;$J$5)*1)+SUMPRODUCT(($J$4:$J$7=$J$5)*($I$4:$I$7&gt;$I$5)*1)+SUMPRODUCT(($J$4:$J$7=$J$5)*($I$4:$I$7=$I$5)*($G$4:$G$7&gt;$G$5)*1)</f>
        <v/>
      </c>
      <c r="B5" s="18" t="inlineStr">
        <is>
          <t>Sudáfrica</t>
        </is>
      </c>
      <c r="C5" s="10">
        <f>SUMPRODUCT(('FASE DE GRUPOS'!$C$3:$C$8=$B$5)*('FASE DE GRUPOS'!$D$3:$D$8&lt;&gt;""))+SUMPRODUCT(('FASE DE GRUPOS'!$F$3:$F$8=$B$5)*('FASE DE GRUPOS'!$E$3:$E$8&lt;&gt;""))</f>
        <v/>
      </c>
      <c r="D5" s="10">
        <f>SUMPRODUCT(('FASE DE GRUPOS'!$C$3:$C$8=$B$5)*('FASE DE GRUPOS'!$D$3:$D$8&gt;'FASE DE GRUPOS'!$E$3:$E$8)*('FASE DE GRUPOS'!$D$3:$D$8&lt;&gt;""))+SUMPRODUCT(('FASE DE GRUPOS'!$F$3:$F$8=$B$5)*('FASE DE GRUPOS'!$E$3:$E$8&gt;'FASE DE GRUPOS'!$D$3:$D$8)*('FASE DE GRUPOS'!$E$3:$E$8&lt;&gt;""))</f>
        <v/>
      </c>
      <c r="E5" s="10">
        <f>SUMPRODUCT(('FASE DE GRUPOS'!$C$3:$C$8=$B$5)*('FASE DE GRUPOS'!$D$3:$D$8='FASE DE GRUPOS'!$E$3:$E$8)*('FASE DE GRUPOS'!$D$3:$D$8&lt;&gt;""))+SUMPRODUCT(('FASE DE GRUPOS'!$F$3:$F$8=$B$5)*('FASE DE GRUPOS'!$E$3:$E$8='FASE DE GRUPOS'!$D$3:$D$8)*('FASE DE GRUPOS'!$E$3:$E$8&lt;&gt;""))</f>
        <v/>
      </c>
      <c r="F5" s="10">
        <f>$C$5-$D$5-$E$5</f>
        <v/>
      </c>
      <c r="G5" s="10">
        <f>SUMPRODUCT(('FASE DE GRUPOS'!$C$3:$C$8=$B$5)*'FASE DE GRUPOS'!$D$3:$D$8)+SUMPRODUCT(('FASE DE GRUPOS'!$F$3:$F$8=$B$5)*'FASE DE GRUPOS'!$E$3:$E$8)</f>
        <v/>
      </c>
      <c r="H5" s="10">
        <f>SUMPRODUCT(('FASE DE GRUPOS'!$C$3:$C$8=$B$5)*'FASE DE GRUPOS'!$E$3:$E$8)+SUMPRODUCT(('FASE DE GRUPOS'!$F$3:$F$8=$B$5)*'FASE DE GRUPOS'!$D$3:$D$8)</f>
        <v/>
      </c>
      <c r="I5" s="10">
        <f>$G$5-$H$5</f>
        <v/>
      </c>
      <c r="J5" s="19">
        <f>3*$D$5+$E$5</f>
        <v/>
      </c>
    </row>
    <row r="6">
      <c r="A6" s="17">
        <f>1+SUMPRODUCT(($J$4:$J$7&gt;$J$6)*1)+SUMPRODUCT(($J$4:$J$7=$J$6)*($I$4:$I$7&gt;$I$6)*1)+SUMPRODUCT(($J$4:$J$7=$J$6)*($I$4:$I$7=$I$6)*($G$4:$G$7&gt;$G$6)*1)</f>
        <v/>
      </c>
      <c r="B6" s="18" t="inlineStr">
        <is>
          <t>Corea del Sur</t>
        </is>
      </c>
      <c r="C6" s="10">
        <f>SUMPRODUCT(('FASE DE GRUPOS'!$C$3:$C$8=$B$6)*('FASE DE GRUPOS'!$D$3:$D$8&lt;&gt;""))+SUMPRODUCT(('FASE DE GRUPOS'!$F$3:$F$8=$B$6)*('FASE DE GRUPOS'!$E$3:$E$8&lt;&gt;""))</f>
        <v/>
      </c>
      <c r="D6" s="10">
        <f>SUMPRODUCT(('FASE DE GRUPOS'!$C$3:$C$8=$B$6)*('FASE DE GRUPOS'!$D$3:$D$8&gt;'FASE DE GRUPOS'!$E$3:$E$8)*('FASE DE GRUPOS'!$D$3:$D$8&lt;&gt;""))+SUMPRODUCT(('FASE DE GRUPOS'!$F$3:$F$8=$B$6)*('FASE DE GRUPOS'!$E$3:$E$8&gt;'FASE DE GRUPOS'!$D$3:$D$8)*('FASE DE GRUPOS'!$E$3:$E$8&lt;&gt;""))</f>
        <v/>
      </c>
      <c r="E6" s="10">
        <f>SUMPRODUCT(('FASE DE GRUPOS'!$C$3:$C$8=$B$6)*('FASE DE GRUPOS'!$D$3:$D$8='FASE DE GRUPOS'!$E$3:$E$8)*('FASE DE GRUPOS'!$D$3:$D$8&lt;&gt;""))+SUMPRODUCT(('FASE DE GRUPOS'!$F$3:$F$8=$B$6)*('FASE DE GRUPOS'!$E$3:$E$8='FASE DE GRUPOS'!$D$3:$D$8)*('FASE DE GRUPOS'!$E$3:$E$8&lt;&gt;""))</f>
        <v/>
      </c>
      <c r="F6" s="10">
        <f>$C$6-$D$6-$E$6</f>
        <v/>
      </c>
      <c r="G6" s="10">
        <f>SUMPRODUCT(('FASE DE GRUPOS'!$C$3:$C$8=$B$6)*'FASE DE GRUPOS'!$D$3:$D$8)+SUMPRODUCT(('FASE DE GRUPOS'!$F$3:$F$8=$B$6)*'FASE DE GRUPOS'!$E$3:$E$8)</f>
        <v/>
      </c>
      <c r="H6" s="10">
        <f>SUMPRODUCT(('FASE DE GRUPOS'!$C$3:$C$8=$B$6)*'FASE DE GRUPOS'!$E$3:$E$8)+SUMPRODUCT(('FASE DE GRUPOS'!$F$3:$F$8=$B$6)*'FASE DE GRUPOS'!$D$3:$D$8)</f>
        <v/>
      </c>
      <c r="I6" s="10">
        <f>$G$6-$H$6</f>
        <v/>
      </c>
      <c r="J6" s="19">
        <f>3*$D$6+$E$6</f>
        <v/>
      </c>
    </row>
    <row r="7">
      <c r="A7" s="17">
        <f>1+SUMPRODUCT(($J$4:$J$7&gt;$J$7)*1)+SUMPRODUCT(($J$4:$J$7=$J$7)*($I$4:$I$7&gt;$I$7)*1)+SUMPRODUCT(($J$4:$J$7=$J$7)*($I$4:$I$7=$I$7)*($G$4:$G$7&gt;$G$7)*1)</f>
        <v/>
      </c>
      <c r="B7" s="18" t="inlineStr">
        <is>
          <t>Chequia</t>
        </is>
      </c>
      <c r="C7" s="10">
        <f>SUMPRODUCT(('FASE DE GRUPOS'!$C$3:$C$8=$B$7)*('FASE DE GRUPOS'!$D$3:$D$8&lt;&gt;""))+SUMPRODUCT(('FASE DE GRUPOS'!$F$3:$F$8=$B$7)*('FASE DE GRUPOS'!$E$3:$E$8&lt;&gt;""))</f>
        <v/>
      </c>
      <c r="D7" s="10">
        <f>SUMPRODUCT(('FASE DE GRUPOS'!$C$3:$C$8=$B$7)*('FASE DE GRUPOS'!$D$3:$D$8&gt;'FASE DE GRUPOS'!$E$3:$E$8)*('FASE DE GRUPOS'!$D$3:$D$8&lt;&gt;""))+SUMPRODUCT(('FASE DE GRUPOS'!$F$3:$F$8=$B$7)*('FASE DE GRUPOS'!$E$3:$E$8&gt;'FASE DE GRUPOS'!$D$3:$D$8)*('FASE DE GRUPOS'!$E$3:$E$8&lt;&gt;""))</f>
        <v/>
      </c>
      <c r="E7" s="10">
        <f>SUMPRODUCT(('FASE DE GRUPOS'!$C$3:$C$8=$B$7)*('FASE DE GRUPOS'!$D$3:$D$8='FASE DE GRUPOS'!$E$3:$E$8)*('FASE DE GRUPOS'!$D$3:$D$8&lt;&gt;""))+SUMPRODUCT(('FASE DE GRUPOS'!$F$3:$F$8=$B$7)*('FASE DE GRUPOS'!$E$3:$E$8='FASE DE GRUPOS'!$D$3:$D$8)*('FASE DE GRUPOS'!$E$3:$E$8&lt;&gt;""))</f>
        <v/>
      </c>
      <c r="F7" s="10">
        <f>$C$7-$D$7-$E$7</f>
        <v/>
      </c>
      <c r="G7" s="10">
        <f>SUMPRODUCT(('FASE DE GRUPOS'!$C$3:$C$8=$B$7)*'FASE DE GRUPOS'!$D$3:$D$8)+SUMPRODUCT(('FASE DE GRUPOS'!$F$3:$F$8=$B$7)*'FASE DE GRUPOS'!$E$3:$E$8)</f>
        <v/>
      </c>
      <c r="H7" s="10">
        <f>SUMPRODUCT(('FASE DE GRUPOS'!$C$3:$C$8=$B$7)*'FASE DE GRUPOS'!$E$3:$E$8)+SUMPRODUCT(('FASE DE GRUPOS'!$F$3:$F$8=$B$7)*'FASE DE GRUPOS'!$D$3:$D$8)</f>
        <v/>
      </c>
      <c r="I7" s="10">
        <f>$G$7-$H$7</f>
        <v/>
      </c>
      <c r="J7" s="19">
        <f>3*$D$7+$E$7</f>
        <v/>
      </c>
    </row>
    <row r="9">
      <c r="A9" s="15" t="inlineStr">
        <is>
          <t>GRUPO B</t>
        </is>
      </c>
      <c r="B9" s="16" t="n"/>
      <c r="C9" s="16" t="n"/>
      <c r="D9" s="16" t="n"/>
      <c r="E9" s="16" t="n"/>
      <c r="F9" s="16" t="n"/>
      <c r="G9" s="16" t="n"/>
      <c r="H9" s="16" t="n"/>
      <c r="I9" s="16" t="n"/>
      <c r="J9" s="16" t="n"/>
    </row>
    <row r="10">
      <c r="A10" s="9" t="inlineStr">
        <is>
          <t>POS</t>
        </is>
      </c>
      <c r="B10" s="9" t="inlineStr">
        <is>
          <t>EQUIPO</t>
        </is>
      </c>
      <c r="C10" s="9" t="inlineStr">
        <is>
          <t>PJ</t>
        </is>
      </c>
      <c r="D10" s="9" t="inlineStr">
        <is>
          <t>G</t>
        </is>
      </c>
      <c r="E10" s="9" t="inlineStr">
        <is>
          <t>E</t>
        </is>
      </c>
      <c r="F10" s="9" t="inlineStr">
        <is>
          <t>P</t>
        </is>
      </c>
      <c r="G10" s="9" t="inlineStr">
        <is>
          <t>GF</t>
        </is>
      </c>
      <c r="H10" s="9" t="inlineStr">
        <is>
          <t>GC</t>
        </is>
      </c>
      <c r="I10" s="9" t="inlineStr">
        <is>
          <t>DIF</t>
        </is>
      </c>
      <c r="J10" s="9" t="inlineStr">
        <is>
          <t>PTS</t>
        </is>
      </c>
    </row>
    <row r="11">
      <c r="A11" s="17">
        <f>1+SUMPRODUCT(($J$11:$J$14&gt;$J$11)*1)+SUMPRODUCT(($J$11:$J$14=$J$11)*($I$11:$I$14&gt;$I$11)*1)+SUMPRODUCT(($J$11:$J$14=$J$11)*($I$11:$I$14=$I$11)*($G$11:$G$14&gt;$G$11)*1)</f>
        <v/>
      </c>
      <c r="B11" s="18" t="inlineStr">
        <is>
          <t>Canadá</t>
        </is>
      </c>
      <c r="C11" s="10">
        <f>SUMPRODUCT(('FASE DE GRUPOS'!$C$10:$C$15=$B$11)*('FASE DE GRUPOS'!$D$10:$D$15&lt;&gt;""))+SUMPRODUCT(('FASE DE GRUPOS'!$F$10:$F$15=$B$11)*('FASE DE GRUPOS'!$E$10:$E$15&lt;&gt;""))</f>
        <v/>
      </c>
      <c r="D11" s="10">
        <f>SUMPRODUCT(('FASE DE GRUPOS'!$C$10:$C$15=$B$11)*('FASE DE GRUPOS'!$D$10:$D$15&gt;'FASE DE GRUPOS'!$E$10:$E$15)*('FASE DE GRUPOS'!$D$10:$D$15&lt;&gt;""))+SUMPRODUCT(('FASE DE GRUPOS'!$F$10:$F$15=$B$11)*('FASE DE GRUPOS'!$E$10:$E$15&gt;'FASE DE GRUPOS'!$D$10:$D$15)*('FASE DE GRUPOS'!$E$10:$E$15&lt;&gt;""))</f>
        <v/>
      </c>
      <c r="E11" s="10">
        <f>SUMPRODUCT(('FASE DE GRUPOS'!$C$10:$C$15=$B$11)*('FASE DE GRUPOS'!$D$10:$D$15='FASE DE GRUPOS'!$E$10:$E$15)*('FASE DE GRUPOS'!$D$10:$D$15&lt;&gt;""))+SUMPRODUCT(('FASE DE GRUPOS'!$F$10:$F$15=$B$11)*('FASE DE GRUPOS'!$E$10:$E$15='FASE DE GRUPOS'!$D$10:$D$15)*('FASE DE GRUPOS'!$E$10:$E$15&lt;&gt;""))</f>
        <v/>
      </c>
      <c r="F11" s="10">
        <f>$C$11-$D$11-$E$11</f>
        <v/>
      </c>
      <c r="G11" s="10">
        <f>SUMPRODUCT(('FASE DE GRUPOS'!$C$10:$C$15=$B$11)*'FASE DE GRUPOS'!$D$10:$D$15)+SUMPRODUCT(('FASE DE GRUPOS'!$F$10:$F$15=$B$11)*'FASE DE GRUPOS'!$E$10:$E$15)</f>
        <v/>
      </c>
      <c r="H11" s="10">
        <f>SUMPRODUCT(('FASE DE GRUPOS'!$C$10:$C$15=$B$11)*'FASE DE GRUPOS'!$E$10:$E$15)+SUMPRODUCT(('FASE DE GRUPOS'!$F$10:$F$15=$B$11)*'FASE DE GRUPOS'!$D$10:$D$15)</f>
        <v/>
      </c>
      <c r="I11" s="10">
        <f>$G$11-$H$11</f>
        <v/>
      </c>
      <c r="J11" s="19">
        <f>3*$D$11+$E$11</f>
        <v/>
      </c>
    </row>
    <row r="12">
      <c r="A12" s="17">
        <f>1+SUMPRODUCT(($J$11:$J$14&gt;$J$12)*1)+SUMPRODUCT(($J$11:$J$14=$J$12)*($I$11:$I$14&gt;$I$12)*1)+SUMPRODUCT(($J$11:$J$14=$J$12)*($I$11:$I$14=$I$12)*($G$11:$G$14&gt;$G$12)*1)</f>
        <v/>
      </c>
      <c r="B12" s="18" t="inlineStr">
        <is>
          <t>Bosnia</t>
        </is>
      </c>
      <c r="C12" s="10">
        <f>SUMPRODUCT(('FASE DE GRUPOS'!$C$10:$C$15=$B$12)*('FASE DE GRUPOS'!$D$10:$D$15&lt;&gt;""))+SUMPRODUCT(('FASE DE GRUPOS'!$F$10:$F$15=$B$12)*('FASE DE GRUPOS'!$E$10:$E$15&lt;&gt;""))</f>
        <v/>
      </c>
      <c r="D12" s="10">
        <f>SUMPRODUCT(('FASE DE GRUPOS'!$C$10:$C$15=$B$12)*('FASE DE GRUPOS'!$D$10:$D$15&gt;'FASE DE GRUPOS'!$E$10:$E$15)*('FASE DE GRUPOS'!$D$10:$D$15&lt;&gt;""))+SUMPRODUCT(('FASE DE GRUPOS'!$F$10:$F$15=$B$12)*('FASE DE GRUPOS'!$E$10:$E$15&gt;'FASE DE GRUPOS'!$D$10:$D$15)*('FASE DE GRUPOS'!$E$10:$E$15&lt;&gt;""))</f>
        <v/>
      </c>
      <c r="E12" s="10">
        <f>SUMPRODUCT(('FASE DE GRUPOS'!$C$10:$C$15=$B$12)*('FASE DE GRUPOS'!$D$10:$D$15='FASE DE GRUPOS'!$E$10:$E$15)*('FASE DE GRUPOS'!$D$10:$D$15&lt;&gt;""))+SUMPRODUCT(('FASE DE GRUPOS'!$F$10:$F$15=$B$12)*('FASE DE GRUPOS'!$E$10:$E$15='FASE DE GRUPOS'!$D$10:$D$15)*('FASE DE GRUPOS'!$E$10:$E$15&lt;&gt;""))</f>
        <v/>
      </c>
      <c r="F12" s="10">
        <f>$C$12-$D$12-$E$12</f>
        <v/>
      </c>
      <c r="G12" s="10">
        <f>SUMPRODUCT(('FASE DE GRUPOS'!$C$10:$C$15=$B$12)*'FASE DE GRUPOS'!$D$10:$D$15)+SUMPRODUCT(('FASE DE GRUPOS'!$F$10:$F$15=$B$12)*'FASE DE GRUPOS'!$E$10:$E$15)</f>
        <v/>
      </c>
      <c r="H12" s="10">
        <f>SUMPRODUCT(('FASE DE GRUPOS'!$C$10:$C$15=$B$12)*'FASE DE GRUPOS'!$E$10:$E$15)+SUMPRODUCT(('FASE DE GRUPOS'!$F$10:$F$15=$B$12)*'FASE DE GRUPOS'!$D$10:$D$15)</f>
        <v/>
      </c>
      <c r="I12" s="10">
        <f>$G$12-$H$12</f>
        <v/>
      </c>
      <c r="J12" s="19">
        <f>3*$D$12+$E$12</f>
        <v/>
      </c>
    </row>
    <row r="13">
      <c r="A13" s="17">
        <f>1+SUMPRODUCT(($J$11:$J$14&gt;$J$13)*1)+SUMPRODUCT(($J$11:$J$14=$J$13)*($I$11:$I$14&gt;$I$13)*1)+SUMPRODUCT(($J$11:$J$14=$J$13)*($I$11:$I$14=$I$13)*($G$11:$G$14&gt;$G$13)*1)</f>
        <v/>
      </c>
      <c r="B13" s="18" t="inlineStr">
        <is>
          <t>Catar</t>
        </is>
      </c>
      <c r="C13" s="10">
        <f>SUMPRODUCT(('FASE DE GRUPOS'!$C$10:$C$15=$B$13)*('FASE DE GRUPOS'!$D$10:$D$15&lt;&gt;""))+SUMPRODUCT(('FASE DE GRUPOS'!$F$10:$F$15=$B$13)*('FASE DE GRUPOS'!$E$10:$E$15&lt;&gt;""))</f>
        <v/>
      </c>
      <c r="D13" s="10">
        <f>SUMPRODUCT(('FASE DE GRUPOS'!$C$10:$C$15=$B$13)*('FASE DE GRUPOS'!$D$10:$D$15&gt;'FASE DE GRUPOS'!$E$10:$E$15)*('FASE DE GRUPOS'!$D$10:$D$15&lt;&gt;""))+SUMPRODUCT(('FASE DE GRUPOS'!$F$10:$F$15=$B$13)*('FASE DE GRUPOS'!$E$10:$E$15&gt;'FASE DE GRUPOS'!$D$10:$D$15)*('FASE DE GRUPOS'!$E$10:$E$15&lt;&gt;""))</f>
        <v/>
      </c>
      <c r="E13" s="10">
        <f>SUMPRODUCT(('FASE DE GRUPOS'!$C$10:$C$15=$B$13)*('FASE DE GRUPOS'!$D$10:$D$15='FASE DE GRUPOS'!$E$10:$E$15)*('FASE DE GRUPOS'!$D$10:$D$15&lt;&gt;""))+SUMPRODUCT(('FASE DE GRUPOS'!$F$10:$F$15=$B$13)*('FASE DE GRUPOS'!$E$10:$E$15='FASE DE GRUPOS'!$D$10:$D$15)*('FASE DE GRUPOS'!$E$10:$E$15&lt;&gt;""))</f>
        <v/>
      </c>
      <c r="F13" s="10">
        <f>$C$13-$D$13-$E$13</f>
        <v/>
      </c>
      <c r="G13" s="10">
        <f>SUMPRODUCT(('FASE DE GRUPOS'!$C$10:$C$15=$B$13)*'FASE DE GRUPOS'!$D$10:$D$15)+SUMPRODUCT(('FASE DE GRUPOS'!$F$10:$F$15=$B$13)*'FASE DE GRUPOS'!$E$10:$E$15)</f>
        <v/>
      </c>
      <c r="H13" s="10">
        <f>SUMPRODUCT(('FASE DE GRUPOS'!$C$10:$C$15=$B$13)*'FASE DE GRUPOS'!$E$10:$E$15)+SUMPRODUCT(('FASE DE GRUPOS'!$F$10:$F$15=$B$13)*'FASE DE GRUPOS'!$D$10:$D$15)</f>
        <v/>
      </c>
      <c r="I13" s="10">
        <f>$G$13-$H$13</f>
        <v/>
      </c>
      <c r="J13" s="19">
        <f>3*$D$13+$E$13</f>
        <v/>
      </c>
    </row>
    <row r="14">
      <c r="A14" s="17">
        <f>1+SUMPRODUCT(($J$11:$J$14&gt;$J$14)*1)+SUMPRODUCT(($J$11:$J$14=$J$14)*($I$11:$I$14&gt;$I$14)*1)+SUMPRODUCT(($J$11:$J$14=$J$14)*($I$11:$I$14=$I$14)*($G$11:$G$14&gt;$G$14)*1)</f>
        <v/>
      </c>
      <c r="B14" s="18" t="inlineStr">
        <is>
          <t>Suiza</t>
        </is>
      </c>
      <c r="C14" s="10">
        <f>SUMPRODUCT(('FASE DE GRUPOS'!$C$10:$C$15=$B$14)*('FASE DE GRUPOS'!$D$10:$D$15&lt;&gt;""))+SUMPRODUCT(('FASE DE GRUPOS'!$F$10:$F$15=$B$14)*('FASE DE GRUPOS'!$E$10:$E$15&lt;&gt;""))</f>
        <v/>
      </c>
      <c r="D14" s="10">
        <f>SUMPRODUCT(('FASE DE GRUPOS'!$C$10:$C$15=$B$14)*('FASE DE GRUPOS'!$D$10:$D$15&gt;'FASE DE GRUPOS'!$E$10:$E$15)*('FASE DE GRUPOS'!$D$10:$D$15&lt;&gt;""))+SUMPRODUCT(('FASE DE GRUPOS'!$F$10:$F$15=$B$14)*('FASE DE GRUPOS'!$E$10:$E$15&gt;'FASE DE GRUPOS'!$D$10:$D$15)*('FASE DE GRUPOS'!$E$10:$E$15&lt;&gt;""))</f>
        <v/>
      </c>
      <c r="E14" s="10">
        <f>SUMPRODUCT(('FASE DE GRUPOS'!$C$10:$C$15=$B$14)*('FASE DE GRUPOS'!$D$10:$D$15='FASE DE GRUPOS'!$E$10:$E$15)*('FASE DE GRUPOS'!$D$10:$D$15&lt;&gt;""))+SUMPRODUCT(('FASE DE GRUPOS'!$F$10:$F$15=$B$14)*('FASE DE GRUPOS'!$E$10:$E$15='FASE DE GRUPOS'!$D$10:$D$15)*('FASE DE GRUPOS'!$E$10:$E$15&lt;&gt;""))</f>
        <v/>
      </c>
      <c r="F14" s="10">
        <f>$C$14-$D$14-$E$14</f>
        <v/>
      </c>
      <c r="G14" s="10">
        <f>SUMPRODUCT(('FASE DE GRUPOS'!$C$10:$C$15=$B$14)*'FASE DE GRUPOS'!$D$10:$D$15)+SUMPRODUCT(('FASE DE GRUPOS'!$F$10:$F$15=$B$14)*'FASE DE GRUPOS'!$E$10:$E$15)</f>
        <v/>
      </c>
      <c r="H14" s="10">
        <f>SUMPRODUCT(('FASE DE GRUPOS'!$C$10:$C$15=$B$14)*'FASE DE GRUPOS'!$E$10:$E$15)+SUMPRODUCT(('FASE DE GRUPOS'!$F$10:$F$15=$B$14)*'FASE DE GRUPOS'!$D$10:$D$15)</f>
        <v/>
      </c>
      <c r="I14" s="10">
        <f>$G$14-$H$14</f>
        <v/>
      </c>
      <c r="J14" s="19">
        <f>3*$D$14+$E$14</f>
        <v/>
      </c>
    </row>
    <row r="16">
      <c r="A16" s="15" t="inlineStr">
        <is>
          <t>GRUPO C</t>
        </is>
      </c>
      <c r="B16" s="16" t="n"/>
      <c r="C16" s="16" t="n"/>
      <c r="D16" s="16" t="n"/>
      <c r="E16" s="16" t="n"/>
      <c r="F16" s="16" t="n"/>
      <c r="G16" s="16" t="n"/>
      <c r="H16" s="16" t="n"/>
      <c r="I16" s="16" t="n"/>
      <c r="J16" s="16" t="n"/>
    </row>
    <row r="17">
      <c r="A17" s="9" t="inlineStr">
        <is>
          <t>POS</t>
        </is>
      </c>
      <c r="B17" s="9" t="inlineStr">
        <is>
          <t>EQUIPO</t>
        </is>
      </c>
      <c r="C17" s="9" t="inlineStr">
        <is>
          <t>PJ</t>
        </is>
      </c>
      <c r="D17" s="9" t="inlineStr">
        <is>
          <t>G</t>
        </is>
      </c>
      <c r="E17" s="9" t="inlineStr">
        <is>
          <t>E</t>
        </is>
      </c>
      <c r="F17" s="9" t="inlineStr">
        <is>
          <t>P</t>
        </is>
      </c>
      <c r="G17" s="9" t="inlineStr">
        <is>
          <t>GF</t>
        </is>
      </c>
      <c r="H17" s="9" t="inlineStr">
        <is>
          <t>GC</t>
        </is>
      </c>
      <c r="I17" s="9" t="inlineStr">
        <is>
          <t>DIF</t>
        </is>
      </c>
      <c r="J17" s="9" t="inlineStr">
        <is>
          <t>PTS</t>
        </is>
      </c>
    </row>
    <row r="18">
      <c r="A18" s="17">
        <f>1+SUMPRODUCT(($J$18:$J$21&gt;$J$18)*1)+SUMPRODUCT(($J$18:$J$21=$J$18)*($I$18:$I$21&gt;$I$18)*1)+SUMPRODUCT(($J$18:$J$21=$J$18)*($I$18:$I$21=$I$18)*($G$18:$G$21&gt;$G$18)*1)</f>
        <v/>
      </c>
      <c r="B18" s="18" t="inlineStr">
        <is>
          <t>Brasil</t>
        </is>
      </c>
      <c r="C18" s="10">
        <f>SUMPRODUCT(('FASE DE GRUPOS'!$C$17:$C$22=$B$18)*('FASE DE GRUPOS'!$D$17:$D$22&lt;&gt;""))+SUMPRODUCT(('FASE DE GRUPOS'!$F$17:$F$22=$B$18)*('FASE DE GRUPOS'!$E$17:$E$22&lt;&gt;""))</f>
        <v/>
      </c>
      <c r="D18" s="10">
        <f>SUMPRODUCT(('FASE DE GRUPOS'!$C$17:$C$22=$B$18)*('FASE DE GRUPOS'!$D$17:$D$22&gt;'FASE DE GRUPOS'!$E$17:$E$22)*('FASE DE GRUPOS'!$D$17:$D$22&lt;&gt;""))+SUMPRODUCT(('FASE DE GRUPOS'!$F$17:$F$22=$B$18)*('FASE DE GRUPOS'!$E$17:$E$22&gt;'FASE DE GRUPOS'!$D$17:$D$22)*('FASE DE GRUPOS'!$E$17:$E$22&lt;&gt;""))</f>
        <v/>
      </c>
      <c r="E18" s="10">
        <f>SUMPRODUCT(('FASE DE GRUPOS'!$C$17:$C$22=$B$18)*('FASE DE GRUPOS'!$D$17:$D$22='FASE DE GRUPOS'!$E$17:$E$22)*('FASE DE GRUPOS'!$D$17:$D$22&lt;&gt;""))+SUMPRODUCT(('FASE DE GRUPOS'!$F$17:$F$22=$B$18)*('FASE DE GRUPOS'!$E$17:$E$22='FASE DE GRUPOS'!$D$17:$D$22)*('FASE DE GRUPOS'!$E$17:$E$22&lt;&gt;""))</f>
        <v/>
      </c>
      <c r="F18" s="10">
        <f>$C$18-$D$18-$E$18</f>
        <v/>
      </c>
      <c r="G18" s="10">
        <f>SUMPRODUCT(('FASE DE GRUPOS'!$C$17:$C$22=$B$18)*'FASE DE GRUPOS'!$D$17:$D$22)+SUMPRODUCT(('FASE DE GRUPOS'!$F$17:$F$22=$B$18)*'FASE DE GRUPOS'!$E$17:$E$22)</f>
        <v/>
      </c>
      <c r="H18" s="10">
        <f>SUMPRODUCT(('FASE DE GRUPOS'!$C$17:$C$22=$B$18)*'FASE DE GRUPOS'!$E$17:$E$22)+SUMPRODUCT(('FASE DE GRUPOS'!$F$17:$F$22=$B$18)*'FASE DE GRUPOS'!$D$17:$D$22)</f>
        <v/>
      </c>
      <c r="I18" s="10">
        <f>$G$18-$H$18</f>
        <v/>
      </c>
      <c r="J18" s="19">
        <f>3*$D$18+$E$18</f>
        <v/>
      </c>
    </row>
    <row r="19">
      <c r="A19" s="17">
        <f>1+SUMPRODUCT(($J$18:$J$21&gt;$J$19)*1)+SUMPRODUCT(($J$18:$J$21=$J$19)*($I$18:$I$21&gt;$I$19)*1)+SUMPRODUCT(($J$18:$J$21=$J$19)*($I$18:$I$21=$I$19)*($G$18:$G$21&gt;$G$19)*1)</f>
        <v/>
      </c>
      <c r="B19" s="18" t="inlineStr">
        <is>
          <t>Marruecos</t>
        </is>
      </c>
      <c r="C19" s="10">
        <f>SUMPRODUCT(('FASE DE GRUPOS'!$C$17:$C$22=$B$19)*('FASE DE GRUPOS'!$D$17:$D$22&lt;&gt;""))+SUMPRODUCT(('FASE DE GRUPOS'!$F$17:$F$22=$B$19)*('FASE DE GRUPOS'!$E$17:$E$22&lt;&gt;""))</f>
        <v/>
      </c>
      <c r="D19" s="10">
        <f>SUMPRODUCT(('FASE DE GRUPOS'!$C$17:$C$22=$B$19)*('FASE DE GRUPOS'!$D$17:$D$22&gt;'FASE DE GRUPOS'!$E$17:$E$22)*('FASE DE GRUPOS'!$D$17:$D$22&lt;&gt;""))+SUMPRODUCT(('FASE DE GRUPOS'!$F$17:$F$22=$B$19)*('FASE DE GRUPOS'!$E$17:$E$22&gt;'FASE DE GRUPOS'!$D$17:$D$22)*('FASE DE GRUPOS'!$E$17:$E$22&lt;&gt;""))</f>
        <v/>
      </c>
      <c r="E19" s="10">
        <f>SUMPRODUCT(('FASE DE GRUPOS'!$C$17:$C$22=$B$19)*('FASE DE GRUPOS'!$D$17:$D$22='FASE DE GRUPOS'!$E$17:$E$22)*('FASE DE GRUPOS'!$D$17:$D$22&lt;&gt;""))+SUMPRODUCT(('FASE DE GRUPOS'!$F$17:$F$22=$B$19)*('FASE DE GRUPOS'!$E$17:$E$22='FASE DE GRUPOS'!$D$17:$D$22)*('FASE DE GRUPOS'!$E$17:$E$22&lt;&gt;""))</f>
        <v/>
      </c>
      <c r="F19" s="10">
        <f>$C$19-$D$19-$E$19</f>
        <v/>
      </c>
      <c r="G19" s="10">
        <f>SUMPRODUCT(('FASE DE GRUPOS'!$C$17:$C$22=$B$19)*'FASE DE GRUPOS'!$D$17:$D$22)+SUMPRODUCT(('FASE DE GRUPOS'!$F$17:$F$22=$B$19)*'FASE DE GRUPOS'!$E$17:$E$22)</f>
        <v/>
      </c>
      <c r="H19" s="10">
        <f>SUMPRODUCT(('FASE DE GRUPOS'!$C$17:$C$22=$B$19)*'FASE DE GRUPOS'!$E$17:$E$22)+SUMPRODUCT(('FASE DE GRUPOS'!$F$17:$F$22=$B$19)*'FASE DE GRUPOS'!$D$17:$D$22)</f>
        <v/>
      </c>
      <c r="I19" s="10">
        <f>$G$19-$H$19</f>
        <v/>
      </c>
      <c r="J19" s="19">
        <f>3*$D$19+$E$19</f>
        <v/>
      </c>
    </row>
    <row r="20">
      <c r="A20" s="17">
        <f>1+SUMPRODUCT(($J$18:$J$21&gt;$J$20)*1)+SUMPRODUCT(($J$18:$J$21=$J$20)*($I$18:$I$21&gt;$I$20)*1)+SUMPRODUCT(($J$18:$J$21=$J$20)*($I$18:$I$21=$I$20)*($G$18:$G$21&gt;$G$20)*1)</f>
        <v/>
      </c>
      <c r="B20" s="18" t="inlineStr">
        <is>
          <t>Haití</t>
        </is>
      </c>
      <c r="C20" s="10">
        <f>SUMPRODUCT(('FASE DE GRUPOS'!$C$17:$C$22=$B$20)*('FASE DE GRUPOS'!$D$17:$D$22&lt;&gt;""))+SUMPRODUCT(('FASE DE GRUPOS'!$F$17:$F$22=$B$20)*('FASE DE GRUPOS'!$E$17:$E$22&lt;&gt;""))</f>
        <v/>
      </c>
      <c r="D20" s="10">
        <f>SUMPRODUCT(('FASE DE GRUPOS'!$C$17:$C$22=$B$20)*('FASE DE GRUPOS'!$D$17:$D$22&gt;'FASE DE GRUPOS'!$E$17:$E$22)*('FASE DE GRUPOS'!$D$17:$D$22&lt;&gt;""))+SUMPRODUCT(('FASE DE GRUPOS'!$F$17:$F$22=$B$20)*('FASE DE GRUPOS'!$E$17:$E$22&gt;'FASE DE GRUPOS'!$D$17:$D$22)*('FASE DE GRUPOS'!$E$17:$E$22&lt;&gt;""))</f>
        <v/>
      </c>
      <c r="E20" s="10">
        <f>SUMPRODUCT(('FASE DE GRUPOS'!$C$17:$C$22=$B$20)*('FASE DE GRUPOS'!$D$17:$D$22='FASE DE GRUPOS'!$E$17:$E$22)*('FASE DE GRUPOS'!$D$17:$D$22&lt;&gt;""))+SUMPRODUCT(('FASE DE GRUPOS'!$F$17:$F$22=$B$20)*('FASE DE GRUPOS'!$E$17:$E$22='FASE DE GRUPOS'!$D$17:$D$22)*('FASE DE GRUPOS'!$E$17:$E$22&lt;&gt;""))</f>
        <v/>
      </c>
      <c r="F20" s="10">
        <f>$C$20-$D$20-$E$20</f>
        <v/>
      </c>
      <c r="G20" s="10">
        <f>SUMPRODUCT(('FASE DE GRUPOS'!$C$17:$C$22=$B$20)*'FASE DE GRUPOS'!$D$17:$D$22)+SUMPRODUCT(('FASE DE GRUPOS'!$F$17:$F$22=$B$20)*'FASE DE GRUPOS'!$E$17:$E$22)</f>
        <v/>
      </c>
      <c r="H20" s="10">
        <f>SUMPRODUCT(('FASE DE GRUPOS'!$C$17:$C$22=$B$20)*'FASE DE GRUPOS'!$E$17:$E$22)+SUMPRODUCT(('FASE DE GRUPOS'!$F$17:$F$22=$B$20)*'FASE DE GRUPOS'!$D$17:$D$22)</f>
        <v/>
      </c>
      <c r="I20" s="10">
        <f>$G$20-$H$20</f>
        <v/>
      </c>
      <c r="J20" s="19">
        <f>3*$D$20+$E$20</f>
        <v/>
      </c>
    </row>
    <row r="21">
      <c r="A21" s="17">
        <f>1+SUMPRODUCT(($J$18:$J$21&gt;$J$21)*1)+SUMPRODUCT(($J$18:$J$21=$J$21)*($I$18:$I$21&gt;$I$21)*1)+SUMPRODUCT(($J$18:$J$21=$J$21)*($I$18:$I$21=$I$21)*($G$18:$G$21&gt;$G$21)*1)</f>
        <v/>
      </c>
      <c r="B21" s="18" t="inlineStr">
        <is>
          <t>Escocia</t>
        </is>
      </c>
      <c r="C21" s="10">
        <f>SUMPRODUCT(('FASE DE GRUPOS'!$C$17:$C$22=$B$21)*('FASE DE GRUPOS'!$D$17:$D$22&lt;&gt;""))+SUMPRODUCT(('FASE DE GRUPOS'!$F$17:$F$22=$B$21)*('FASE DE GRUPOS'!$E$17:$E$22&lt;&gt;""))</f>
        <v/>
      </c>
      <c r="D21" s="10">
        <f>SUMPRODUCT(('FASE DE GRUPOS'!$C$17:$C$22=$B$21)*('FASE DE GRUPOS'!$D$17:$D$22&gt;'FASE DE GRUPOS'!$E$17:$E$22)*('FASE DE GRUPOS'!$D$17:$D$22&lt;&gt;""))+SUMPRODUCT(('FASE DE GRUPOS'!$F$17:$F$22=$B$21)*('FASE DE GRUPOS'!$E$17:$E$22&gt;'FASE DE GRUPOS'!$D$17:$D$22)*('FASE DE GRUPOS'!$E$17:$E$22&lt;&gt;""))</f>
        <v/>
      </c>
      <c r="E21" s="10">
        <f>SUMPRODUCT(('FASE DE GRUPOS'!$C$17:$C$22=$B$21)*('FASE DE GRUPOS'!$D$17:$D$22='FASE DE GRUPOS'!$E$17:$E$22)*('FASE DE GRUPOS'!$D$17:$D$22&lt;&gt;""))+SUMPRODUCT(('FASE DE GRUPOS'!$F$17:$F$22=$B$21)*('FASE DE GRUPOS'!$E$17:$E$22='FASE DE GRUPOS'!$D$17:$D$22)*('FASE DE GRUPOS'!$E$17:$E$22&lt;&gt;""))</f>
        <v/>
      </c>
      <c r="F21" s="10">
        <f>$C$21-$D$21-$E$21</f>
        <v/>
      </c>
      <c r="G21" s="10">
        <f>SUMPRODUCT(('FASE DE GRUPOS'!$C$17:$C$22=$B$21)*'FASE DE GRUPOS'!$D$17:$D$22)+SUMPRODUCT(('FASE DE GRUPOS'!$F$17:$F$22=$B$21)*'FASE DE GRUPOS'!$E$17:$E$22)</f>
        <v/>
      </c>
      <c r="H21" s="10">
        <f>SUMPRODUCT(('FASE DE GRUPOS'!$C$17:$C$22=$B$21)*'FASE DE GRUPOS'!$E$17:$E$22)+SUMPRODUCT(('FASE DE GRUPOS'!$F$17:$F$22=$B$21)*'FASE DE GRUPOS'!$D$17:$D$22)</f>
        <v/>
      </c>
      <c r="I21" s="10">
        <f>$G$21-$H$21</f>
        <v/>
      </c>
      <c r="J21" s="19">
        <f>3*$D$21+$E$21</f>
        <v/>
      </c>
    </row>
    <row r="23">
      <c r="A23" s="15" t="inlineStr">
        <is>
          <t>GRUPO D</t>
        </is>
      </c>
      <c r="B23" s="16" t="n"/>
      <c r="C23" s="16" t="n"/>
      <c r="D23" s="16" t="n"/>
      <c r="E23" s="16" t="n"/>
      <c r="F23" s="16" t="n"/>
      <c r="G23" s="16" t="n"/>
      <c r="H23" s="16" t="n"/>
      <c r="I23" s="16" t="n"/>
      <c r="J23" s="16" t="n"/>
    </row>
    <row r="24">
      <c r="A24" s="9" t="inlineStr">
        <is>
          <t>POS</t>
        </is>
      </c>
      <c r="B24" s="9" t="inlineStr">
        <is>
          <t>EQUIPO</t>
        </is>
      </c>
      <c r="C24" s="9" t="inlineStr">
        <is>
          <t>PJ</t>
        </is>
      </c>
      <c r="D24" s="9" t="inlineStr">
        <is>
          <t>G</t>
        </is>
      </c>
      <c r="E24" s="9" t="inlineStr">
        <is>
          <t>E</t>
        </is>
      </c>
      <c r="F24" s="9" t="inlineStr">
        <is>
          <t>P</t>
        </is>
      </c>
      <c r="G24" s="9" t="inlineStr">
        <is>
          <t>GF</t>
        </is>
      </c>
      <c r="H24" s="9" t="inlineStr">
        <is>
          <t>GC</t>
        </is>
      </c>
      <c r="I24" s="9" t="inlineStr">
        <is>
          <t>DIF</t>
        </is>
      </c>
      <c r="J24" s="9" t="inlineStr">
        <is>
          <t>PTS</t>
        </is>
      </c>
    </row>
    <row r="25">
      <c r="A25" s="17">
        <f>1+SUMPRODUCT(($J$25:$J$28&gt;$J$25)*1)+SUMPRODUCT(($J$25:$J$28=$J$25)*($I$25:$I$28&gt;$I$25)*1)+SUMPRODUCT(($J$25:$J$28=$J$25)*($I$25:$I$28=$I$25)*($G$25:$G$28&gt;$G$25)*1)</f>
        <v/>
      </c>
      <c r="B25" s="18" t="inlineStr">
        <is>
          <t>Estados Unidos</t>
        </is>
      </c>
      <c r="C25" s="10">
        <f>SUMPRODUCT(('FASE DE GRUPOS'!$C$24:$C$29=$B$25)*('FASE DE GRUPOS'!$D$24:$D$29&lt;&gt;""))+SUMPRODUCT(('FASE DE GRUPOS'!$F$24:$F$29=$B$25)*('FASE DE GRUPOS'!$E$24:$E$29&lt;&gt;""))</f>
        <v/>
      </c>
      <c r="D25" s="10">
        <f>SUMPRODUCT(('FASE DE GRUPOS'!$C$24:$C$29=$B$25)*('FASE DE GRUPOS'!$D$24:$D$29&gt;'FASE DE GRUPOS'!$E$24:$E$29)*('FASE DE GRUPOS'!$D$24:$D$29&lt;&gt;""))+SUMPRODUCT(('FASE DE GRUPOS'!$F$24:$F$29=$B$25)*('FASE DE GRUPOS'!$E$24:$E$29&gt;'FASE DE GRUPOS'!$D$24:$D$29)*('FASE DE GRUPOS'!$E$24:$E$29&lt;&gt;""))</f>
        <v/>
      </c>
      <c r="E25" s="10">
        <f>SUMPRODUCT(('FASE DE GRUPOS'!$C$24:$C$29=$B$25)*('FASE DE GRUPOS'!$D$24:$D$29='FASE DE GRUPOS'!$E$24:$E$29)*('FASE DE GRUPOS'!$D$24:$D$29&lt;&gt;""))+SUMPRODUCT(('FASE DE GRUPOS'!$F$24:$F$29=$B$25)*('FASE DE GRUPOS'!$E$24:$E$29='FASE DE GRUPOS'!$D$24:$D$29)*('FASE DE GRUPOS'!$E$24:$E$29&lt;&gt;""))</f>
        <v/>
      </c>
      <c r="F25" s="10">
        <f>$C$25-$D$25-$E$25</f>
        <v/>
      </c>
      <c r="G25" s="10">
        <f>SUMPRODUCT(('FASE DE GRUPOS'!$C$24:$C$29=$B$25)*'FASE DE GRUPOS'!$D$24:$D$29)+SUMPRODUCT(('FASE DE GRUPOS'!$F$24:$F$29=$B$25)*'FASE DE GRUPOS'!$E$24:$E$29)</f>
        <v/>
      </c>
      <c r="H25" s="10">
        <f>SUMPRODUCT(('FASE DE GRUPOS'!$C$24:$C$29=$B$25)*'FASE DE GRUPOS'!$E$24:$E$29)+SUMPRODUCT(('FASE DE GRUPOS'!$F$24:$F$29=$B$25)*'FASE DE GRUPOS'!$D$24:$D$29)</f>
        <v/>
      </c>
      <c r="I25" s="10">
        <f>$G$25-$H$25</f>
        <v/>
      </c>
      <c r="J25" s="19">
        <f>3*$D$25+$E$25</f>
        <v/>
      </c>
    </row>
    <row r="26">
      <c r="A26" s="17">
        <f>1+SUMPRODUCT(($J$25:$J$28&gt;$J$26)*1)+SUMPRODUCT(($J$25:$J$28=$J$26)*($I$25:$I$28&gt;$I$26)*1)+SUMPRODUCT(($J$25:$J$28=$J$26)*($I$25:$I$28=$I$26)*($G$25:$G$28&gt;$G$26)*1)</f>
        <v/>
      </c>
      <c r="B26" s="18" t="inlineStr">
        <is>
          <t>Paraguay</t>
        </is>
      </c>
      <c r="C26" s="10">
        <f>SUMPRODUCT(('FASE DE GRUPOS'!$C$24:$C$29=$B$26)*('FASE DE GRUPOS'!$D$24:$D$29&lt;&gt;""))+SUMPRODUCT(('FASE DE GRUPOS'!$F$24:$F$29=$B$26)*('FASE DE GRUPOS'!$E$24:$E$29&lt;&gt;""))</f>
        <v/>
      </c>
      <c r="D26" s="10">
        <f>SUMPRODUCT(('FASE DE GRUPOS'!$C$24:$C$29=$B$26)*('FASE DE GRUPOS'!$D$24:$D$29&gt;'FASE DE GRUPOS'!$E$24:$E$29)*('FASE DE GRUPOS'!$D$24:$D$29&lt;&gt;""))+SUMPRODUCT(('FASE DE GRUPOS'!$F$24:$F$29=$B$26)*('FASE DE GRUPOS'!$E$24:$E$29&gt;'FASE DE GRUPOS'!$D$24:$D$29)*('FASE DE GRUPOS'!$E$24:$E$29&lt;&gt;""))</f>
        <v/>
      </c>
      <c r="E26" s="10">
        <f>SUMPRODUCT(('FASE DE GRUPOS'!$C$24:$C$29=$B$26)*('FASE DE GRUPOS'!$D$24:$D$29='FASE DE GRUPOS'!$E$24:$E$29)*('FASE DE GRUPOS'!$D$24:$D$29&lt;&gt;""))+SUMPRODUCT(('FASE DE GRUPOS'!$F$24:$F$29=$B$26)*('FASE DE GRUPOS'!$E$24:$E$29='FASE DE GRUPOS'!$D$24:$D$29)*('FASE DE GRUPOS'!$E$24:$E$29&lt;&gt;""))</f>
        <v/>
      </c>
      <c r="F26" s="10">
        <f>$C$26-$D$26-$E$26</f>
        <v/>
      </c>
      <c r="G26" s="10">
        <f>SUMPRODUCT(('FASE DE GRUPOS'!$C$24:$C$29=$B$26)*'FASE DE GRUPOS'!$D$24:$D$29)+SUMPRODUCT(('FASE DE GRUPOS'!$F$24:$F$29=$B$26)*'FASE DE GRUPOS'!$E$24:$E$29)</f>
        <v/>
      </c>
      <c r="H26" s="10">
        <f>SUMPRODUCT(('FASE DE GRUPOS'!$C$24:$C$29=$B$26)*'FASE DE GRUPOS'!$E$24:$E$29)+SUMPRODUCT(('FASE DE GRUPOS'!$F$24:$F$29=$B$26)*'FASE DE GRUPOS'!$D$24:$D$29)</f>
        <v/>
      </c>
      <c r="I26" s="10">
        <f>$G$26-$H$26</f>
        <v/>
      </c>
      <c r="J26" s="19">
        <f>3*$D$26+$E$26</f>
        <v/>
      </c>
    </row>
    <row r="27">
      <c r="A27" s="17">
        <f>1+SUMPRODUCT(($J$25:$J$28&gt;$J$27)*1)+SUMPRODUCT(($J$25:$J$28=$J$27)*($I$25:$I$28&gt;$I$27)*1)+SUMPRODUCT(($J$25:$J$28=$J$27)*($I$25:$I$28=$I$27)*($G$25:$G$28&gt;$G$27)*1)</f>
        <v/>
      </c>
      <c r="B27" s="18" t="inlineStr">
        <is>
          <t>Australia</t>
        </is>
      </c>
      <c r="C27" s="10">
        <f>SUMPRODUCT(('FASE DE GRUPOS'!$C$24:$C$29=$B$27)*('FASE DE GRUPOS'!$D$24:$D$29&lt;&gt;""))+SUMPRODUCT(('FASE DE GRUPOS'!$F$24:$F$29=$B$27)*('FASE DE GRUPOS'!$E$24:$E$29&lt;&gt;""))</f>
        <v/>
      </c>
      <c r="D27" s="10">
        <f>SUMPRODUCT(('FASE DE GRUPOS'!$C$24:$C$29=$B$27)*('FASE DE GRUPOS'!$D$24:$D$29&gt;'FASE DE GRUPOS'!$E$24:$E$29)*('FASE DE GRUPOS'!$D$24:$D$29&lt;&gt;""))+SUMPRODUCT(('FASE DE GRUPOS'!$F$24:$F$29=$B$27)*('FASE DE GRUPOS'!$E$24:$E$29&gt;'FASE DE GRUPOS'!$D$24:$D$29)*('FASE DE GRUPOS'!$E$24:$E$29&lt;&gt;""))</f>
        <v/>
      </c>
      <c r="E27" s="10">
        <f>SUMPRODUCT(('FASE DE GRUPOS'!$C$24:$C$29=$B$27)*('FASE DE GRUPOS'!$D$24:$D$29='FASE DE GRUPOS'!$E$24:$E$29)*('FASE DE GRUPOS'!$D$24:$D$29&lt;&gt;""))+SUMPRODUCT(('FASE DE GRUPOS'!$F$24:$F$29=$B$27)*('FASE DE GRUPOS'!$E$24:$E$29='FASE DE GRUPOS'!$D$24:$D$29)*('FASE DE GRUPOS'!$E$24:$E$29&lt;&gt;""))</f>
        <v/>
      </c>
      <c r="F27" s="10">
        <f>$C$27-$D$27-$E$27</f>
        <v/>
      </c>
      <c r="G27" s="10">
        <f>SUMPRODUCT(('FASE DE GRUPOS'!$C$24:$C$29=$B$27)*'FASE DE GRUPOS'!$D$24:$D$29)+SUMPRODUCT(('FASE DE GRUPOS'!$F$24:$F$29=$B$27)*'FASE DE GRUPOS'!$E$24:$E$29)</f>
        <v/>
      </c>
      <c r="H27" s="10">
        <f>SUMPRODUCT(('FASE DE GRUPOS'!$C$24:$C$29=$B$27)*'FASE DE GRUPOS'!$E$24:$E$29)+SUMPRODUCT(('FASE DE GRUPOS'!$F$24:$F$29=$B$27)*'FASE DE GRUPOS'!$D$24:$D$29)</f>
        <v/>
      </c>
      <c r="I27" s="10">
        <f>$G$27-$H$27</f>
        <v/>
      </c>
      <c r="J27" s="19">
        <f>3*$D$27+$E$27</f>
        <v/>
      </c>
    </row>
    <row r="28">
      <c r="A28" s="17">
        <f>1+SUMPRODUCT(($J$25:$J$28&gt;$J$28)*1)+SUMPRODUCT(($J$25:$J$28=$J$28)*($I$25:$I$28&gt;$I$28)*1)+SUMPRODUCT(($J$25:$J$28=$J$28)*($I$25:$I$28=$I$28)*($G$25:$G$28&gt;$G$28)*1)</f>
        <v/>
      </c>
      <c r="B28" s="18" t="inlineStr">
        <is>
          <t>Turquía</t>
        </is>
      </c>
      <c r="C28" s="10">
        <f>SUMPRODUCT(('FASE DE GRUPOS'!$C$24:$C$29=$B$28)*('FASE DE GRUPOS'!$D$24:$D$29&lt;&gt;""))+SUMPRODUCT(('FASE DE GRUPOS'!$F$24:$F$29=$B$28)*('FASE DE GRUPOS'!$E$24:$E$29&lt;&gt;""))</f>
        <v/>
      </c>
      <c r="D28" s="10">
        <f>SUMPRODUCT(('FASE DE GRUPOS'!$C$24:$C$29=$B$28)*('FASE DE GRUPOS'!$D$24:$D$29&gt;'FASE DE GRUPOS'!$E$24:$E$29)*('FASE DE GRUPOS'!$D$24:$D$29&lt;&gt;""))+SUMPRODUCT(('FASE DE GRUPOS'!$F$24:$F$29=$B$28)*('FASE DE GRUPOS'!$E$24:$E$29&gt;'FASE DE GRUPOS'!$D$24:$D$29)*('FASE DE GRUPOS'!$E$24:$E$29&lt;&gt;""))</f>
        <v/>
      </c>
      <c r="E28" s="10">
        <f>SUMPRODUCT(('FASE DE GRUPOS'!$C$24:$C$29=$B$28)*('FASE DE GRUPOS'!$D$24:$D$29='FASE DE GRUPOS'!$E$24:$E$29)*('FASE DE GRUPOS'!$D$24:$D$29&lt;&gt;""))+SUMPRODUCT(('FASE DE GRUPOS'!$F$24:$F$29=$B$28)*('FASE DE GRUPOS'!$E$24:$E$29='FASE DE GRUPOS'!$D$24:$D$29)*('FASE DE GRUPOS'!$E$24:$E$29&lt;&gt;""))</f>
        <v/>
      </c>
      <c r="F28" s="10">
        <f>$C$28-$D$28-$E$28</f>
        <v/>
      </c>
      <c r="G28" s="10">
        <f>SUMPRODUCT(('FASE DE GRUPOS'!$C$24:$C$29=$B$28)*'FASE DE GRUPOS'!$D$24:$D$29)+SUMPRODUCT(('FASE DE GRUPOS'!$F$24:$F$29=$B$28)*'FASE DE GRUPOS'!$E$24:$E$29)</f>
        <v/>
      </c>
      <c r="H28" s="10">
        <f>SUMPRODUCT(('FASE DE GRUPOS'!$C$24:$C$29=$B$28)*'FASE DE GRUPOS'!$E$24:$E$29)+SUMPRODUCT(('FASE DE GRUPOS'!$F$24:$F$29=$B$28)*'FASE DE GRUPOS'!$D$24:$D$29)</f>
        <v/>
      </c>
      <c r="I28" s="10">
        <f>$G$28-$H$28</f>
        <v/>
      </c>
      <c r="J28" s="19">
        <f>3*$D$28+$E$28</f>
        <v/>
      </c>
    </row>
    <row r="30">
      <c r="A30" s="15" t="inlineStr">
        <is>
          <t>GRUPO E</t>
        </is>
      </c>
      <c r="B30" s="16" t="n"/>
      <c r="C30" s="16" t="n"/>
      <c r="D30" s="16" t="n"/>
      <c r="E30" s="16" t="n"/>
      <c r="F30" s="16" t="n"/>
      <c r="G30" s="16" t="n"/>
      <c r="H30" s="16" t="n"/>
      <c r="I30" s="16" t="n"/>
      <c r="J30" s="16" t="n"/>
    </row>
    <row r="31">
      <c r="A31" s="9" t="inlineStr">
        <is>
          <t>POS</t>
        </is>
      </c>
      <c r="B31" s="9" t="inlineStr">
        <is>
          <t>EQUIPO</t>
        </is>
      </c>
      <c r="C31" s="9" t="inlineStr">
        <is>
          <t>PJ</t>
        </is>
      </c>
      <c r="D31" s="9" t="inlineStr">
        <is>
          <t>G</t>
        </is>
      </c>
      <c r="E31" s="9" t="inlineStr">
        <is>
          <t>E</t>
        </is>
      </c>
      <c r="F31" s="9" t="inlineStr">
        <is>
          <t>P</t>
        </is>
      </c>
      <c r="G31" s="9" t="inlineStr">
        <is>
          <t>GF</t>
        </is>
      </c>
      <c r="H31" s="9" t="inlineStr">
        <is>
          <t>GC</t>
        </is>
      </c>
      <c r="I31" s="9" t="inlineStr">
        <is>
          <t>DIF</t>
        </is>
      </c>
      <c r="J31" s="9" t="inlineStr">
        <is>
          <t>PTS</t>
        </is>
      </c>
    </row>
    <row r="32">
      <c r="A32" s="17">
        <f>1+SUMPRODUCT(($J$32:$J$35&gt;$J$32)*1)+SUMPRODUCT(($J$32:$J$35=$J$32)*($I$32:$I$35&gt;$I$32)*1)+SUMPRODUCT(($J$32:$J$35=$J$32)*($I$32:$I$35=$I$32)*($G$32:$G$35&gt;$G$32)*1)</f>
        <v/>
      </c>
      <c r="B32" s="18" t="inlineStr">
        <is>
          <t>Alemania</t>
        </is>
      </c>
      <c r="C32" s="10">
        <f>SUMPRODUCT(('FASE DE GRUPOS'!$C$31:$C$36=$B$32)*('FASE DE GRUPOS'!$D$31:$D$36&lt;&gt;""))+SUMPRODUCT(('FASE DE GRUPOS'!$F$31:$F$36=$B$32)*('FASE DE GRUPOS'!$E$31:$E$36&lt;&gt;""))</f>
        <v/>
      </c>
      <c r="D32" s="10">
        <f>SUMPRODUCT(('FASE DE GRUPOS'!$C$31:$C$36=$B$32)*('FASE DE GRUPOS'!$D$31:$D$36&gt;'FASE DE GRUPOS'!$E$31:$E$36)*('FASE DE GRUPOS'!$D$31:$D$36&lt;&gt;""))+SUMPRODUCT(('FASE DE GRUPOS'!$F$31:$F$36=$B$32)*('FASE DE GRUPOS'!$E$31:$E$36&gt;'FASE DE GRUPOS'!$D$31:$D$36)*('FASE DE GRUPOS'!$E$31:$E$36&lt;&gt;""))</f>
        <v/>
      </c>
      <c r="E32" s="10">
        <f>SUMPRODUCT(('FASE DE GRUPOS'!$C$31:$C$36=$B$32)*('FASE DE GRUPOS'!$D$31:$D$36='FASE DE GRUPOS'!$E$31:$E$36)*('FASE DE GRUPOS'!$D$31:$D$36&lt;&gt;""))+SUMPRODUCT(('FASE DE GRUPOS'!$F$31:$F$36=$B$32)*('FASE DE GRUPOS'!$E$31:$E$36='FASE DE GRUPOS'!$D$31:$D$36)*('FASE DE GRUPOS'!$E$31:$E$36&lt;&gt;""))</f>
        <v/>
      </c>
      <c r="F32" s="10">
        <f>$C$32-$D$32-$E$32</f>
        <v/>
      </c>
      <c r="G32" s="10">
        <f>SUMPRODUCT(('FASE DE GRUPOS'!$C$31:$C$36=$B$32)*'FASE DE GRUPOS'!$D$31:$D$36)+SUMPRODUCT(('FASE DE GRUPOS'!$F$31:$F$36=$B$32)*'FASE DE GRUPOS'!$E$31:$E$36)</f>
        <v/>
      </c>
      <c r="H32" s="10">
        <f>SUMPRODUCT(('FASE DE GRUPOS'!$C$31:$C$36=$B$32)*'FASE DE GRUPOS'!$E$31:$E$36)+SUMPRODUCT(('FASE DE GRUPOS'!$F$31:$F$36=$B$32)*'FASE DE GRUPOS'!$D$31:$D$36)</f>
        <v/>
      </c>
      <c r="I32" s="10">
        <f>$G$32-$H$32</f>
        <v/>
      </c>
      <c r="J32" s="19">
        <f>3*$D$32+$E$32</f>
        <v/>
      </c>
    </row>
    <row r="33">
      <c r="A33" s="17">
        <f>1+SUMPRODUCT(($J$32:$J$35&gt;$J$33)*1)+SUMPRODUCT(($J$32:$J$35=$J$33)*($I$32:$I$35&gt;$I$33)*1)+SUMPRODUCT(($J$32:$J$35=$J$33)*($I$32:$I$35=$I$33)*($G$32:$G$35&gt;$G$33)*1)</f>
        <v/>
      </c>
      <c r="B33" s="18" t="inlineStr">
        <is>
          <t>Curazao</t>
        </is>
      </c>
      <c r="C33" s="10">
        <f>SUMPRODUCT(('FASE DE GRUPOS'!$C$31:$C$36=$B$33)*('FASE DE GRUPOS'!$D$31:$D$36&lt;&gt;""))+SUMPRODUCT(('FASE DE GRUPOS'!$F$31:$F$36=$B$33)*('FASE DE GRUPOS'!$E$31:$E$36&lt;&gt;""))</f>
        <v/>
      </c>
      <c r="D33" s="10">
        <f>SUMPRODUCT(('FASE DE GRUPOS'!$C$31:$C$36=$B$33)*('FASE DE GRUPOS'!$D$31:$D$36&gt;'FASE DE GRUPOS'!$E$31:$E$36)*('FASE DE GRUPOS'!$D$31:$D$36&lt;&gt;""))+SUMPRODUCT(('FASE DE GRUPOS'!$F$31:$F$36=$B$33)*('FASE DE GRUPOS'!$E$31:$E$36&gt;'FASE DE GRUPOS'!$D$31:$D$36)*('FASE DE GRUPOS'!$E$31:$E$36&lt;&gt;""))</f>
        <v/>
      </c>
      <c r="E33" s="10">
        <f>SUMPRODUCT(('FASE DE GRUPOS'!$C$31:$C$36=$B$33)*('FASE DE GRUPOS'!$D$31:$D$36='FASE DE GRUPOS'!$E$31:$E$36)*('FASE DE GRUPOS'!$D$31:$D$36&lt;&gt;""))+SUMPRODUCT(('FASE DE GRUPOS'!$F$31:$F$36=$B$33)*('FASE DE GRUPOS'!$E$31:$E$36='FASE DE GRUPOS'!$D$31:$D$36)*('FASE DE GRUPOS'!$E$31:$E$36&lt;&gt;""))</f>
        <v/>
      </c>
      <c r="F33" s="10">
        <f>$C$33-$D$33-$E$33</f>
        <v/>
      </c>
      <c r="G33" s="10">
        <f>SUMPRODUCT(('FASE DE GRUPOS'!$C$31:$C$36=$B$33)*'FASE DE GRUPOS'!$D$31:$D$36)+SUMPRODUCT(('FASE DE GRUPOS'!$F$31:$F$36=$B$33)*'FASE DE GRUPOS'!$E$31:$E$36)</f>
        <v/>
      </c>
      <c r="H33" s="10">
        <f>SUMPRODUCT(('FASE DE GRUPOS'!$C$31:$C$36=$B$33)*'FASE DE GRUPOS'!$E$31:$E$36)+SUMPRODUCT(('FASE DE GRUPOS'!$F$31:$F$36=$B$33)*'FASE DE GRUPOS'!$D$31:$D$36)</f>
        <v/>
      </c>
      <c r="I33" s="10">
        <f>$G$33-$H$33</f>
        <v/>
      </c>
      <c r="J33" s="19">
        <f>3*$D$33+$E$33</f>
        <v/>
      </c>
    </row>
    <row r="34">
      <c r="A34" s="17">
        <f>1+SUMPRODUCT(($J$32:$J$35&gt;$J$34)*1)+SUMPRODUCT(($J$32:$J$35=$J$34)*($I$32:$I$35&gt;$I$34)*1)+SUMPRODUCT(($J$32:$J$35=$J$34)*($I$32:$I$35=$I$34)*($G$32:$G$35&gt;$G$34)*1)</f>
        <v/>
      </c>
      <c r="B34" s="18" t="inlineStr">
        <is>
          <t>Costa de Marfil</t>
        </is>
      </c>
      <c r="C34" s="10">
        <f>SUMPRODUCT(('FASE DE GRUPOS'!$C$31:$C$36=$B$34)*('FASE DE GRUPOS'!$D$31:$D$36&lt;&gt;""))+SUMPRODUCT(('FASE DE GRUPOS'!$F$31:$F$36=$B$34)*('FASE DE GRUPOS'!$E$31:$E$36&lt;&gt;""))</f>
        <v/>
      </c>
      <c r="D34" s="10">
        <f>SUMPRODUCT(('FASE DE GRUPOS'!$C$31:$C$36=$B$34)*('FASE DE GRUPOS'!$D$31:$D$36&gt;'FASE DE GRUPOS'!$E$31:$E$36)*('FASE DE GRUPOS'!$D$31:$D$36&lt;&gt;""))+SUMPRODUCT(('FASE DE GRUPOS'!$F$31:$F$36=$B$34)*('FASE DE GRUPOS'!$E$31:$E$36&gt;'FASE DE GRUPOS'!$D$31:$D$36)*('FASE DE GRUPOS'!$E$31:$E$36&lt;&gt;""))</f>
        <v/>
      </c>
      <c r="E34" s="10">
        <f>SUMPRODUCT(('FASE DE GRUPOS'!$C$31:$C$36=$B$34)*('FASE DE GRUPOS'!$D$31:$D$36='FASE DE GRUPOS'!$E$31:$E$36)*('FASE DE GRUPOS'!$D$31:$D$36&lt;&gt;""))+SUMPRODUCT(('FASE DE GRUPOS'!$F$31:$F$36=$B$34)*('FASE DE GRUPOS'!$E$31:$E$36='FASE DE GRUPOS'!$D$31:$D$36)*('FASE DE GRUPOS'!$E$31:$E$36&lt;&gt;""))</f>
        <v/>
      </c>
      <c r="F34" s="10">
        <f>$C$34-$D$34-$E$34</f>
        <v/>
      </c>
      <c r="G34" s="10">
        <f>SUMPRODUCT(('FASE DE GRUPOS'!$C$31:$C$36=$B$34)*'FASE DE GRUPOS'!$D$31:$D$36)+SUMPRODUCT(('FASE DE GRUPOS'!$F$31:$F$36=$B$34)*'FASE DE GRUPOS'!$E$31:$E$36)</f>
        <v/>
      </c>
      <c r="H34" s="10">
        <f>SUMPRODUCT(('FASE DE GRUPOS'!$C$31:$C$36=$B$34)*'FASE DE GRUPOS'!$E$31:$E$36)+SUMPRODUCT(('FASE DE GRUPOS'!$F$31:$F$36=$B$34)*'FASE DE GRUPOS'!$D$31:$D$36)</f>
        <v/>
      </c>
      <c r="I34" s="10">
        <f>$G$34-$H$34</f>
        <v/>
      </c>
      <c r="J34" s="19">
        <f>3*$D$34+$E$34</f>
        <v/>
      </c>
    </row>
    <row r="35">
      <c r="A35" s="17">
        <f>1+SUMPRODUCT(($J$32:$J$35&gt;$J$35)*1)+SUMPRODUCT(($J$32:$J$35=$J$35)*($I$32:$I$35&gt;$I$35)*1)+SUMPRODUCT(($J$32:$J$35=$J$35)*($I$32:$I$35=$I$35)*($G$32:$G$35&gt;$G$35)*1)</f>
        <v/>
      </c>
      <c r="B35" s="18" t="inlineStr">
        <is>
          <t>Ecuador</t>
        </is>
      </c>
      <c r="C35" s="10">
        <f>SUMPRODUCT(('FASE DE GRUPOS'!$C$31:$C$36=$B$35)*('FASE DE GRUPOS'!$D$31:$D$36&lt;&gt;""))+SUMPRODUCT(('FASE DE GRUPOS'!$F$31:$F$36=$B$35)*('FASE DE GRUPOS'!$E$31:$E$36&lt;&gt;""))</f>
        <v/>
      </c>
      <c r="D35" s="10">
        <f>SUMPRODUCT(('FASE DE GRUPOS'!$C$31:$C$36=$B$35)*('FASE DE GRUPOS'!$D$31:$D$36&gt;'FASE DE GRUPOS'!$E$31:$E$36)*('FASE DE GRUPOS'!$D$31:$D$36&lt;&gt;""))+SUMPRODUCT(('FASE DE GRUPOS'!$F$31:$F$36=$B$35)*('FASE DE GRUPOS'!$E$31:$E$36&gt;'FASE DE GRUPOS'!$D$31:$D$36)*('FASE DE GRUPOS'!$E$31:$E$36&lt;&gt;""))</f>
        <v/>
      </c>
      <c r="E35" s="10">
        <f>SUMPRODUCT(('FASE DE GRUPOS'!$C$31:$C$36=$B$35)*('FASE DE GRUPOS'!$D$31:$D$36='FASE DE GRUPOS'!$E$31:$E$36)*('FASE DE GRUPOS'!$D$31:$D$36&lt;&gt;""))+SUMPRODUCT(('FASE DE GRUPOS'!$F$31:$F$36=$B$35)*('FASE DE GRUPOS'!$E$31:$E$36='FASE DE GRUPOS'!$D$31:$D$36)*('FASE DE GRUPOS'!$E$31:$E$36&lt;&gt;""))</f>
        <v/>
      </c>
      <c r="F35" s="10">
        <f>$C$35-$D$35-$E$35</f>
        <v/>
      </c>
      <c r="G35" s="10">
        <f>SUMPRODUCT(('FASE DE GRUPOS'!$C$31:$C$36=$B$35)*'FASE DE GRUPOS'!$D$31:$D$36)+SUMPRODUCT(('FASE DE GRUPOS'!$F$31:$F$36=$B$35)*'FASE DE GRUPOS'!$E$31:$E$36)</f>
        <v/>
      </c>
      <c r="H35" s="10">
        <f>SUMPRODUCT(('FASE DE GRUPOS'!$C$31:$C$36=$B$35)*'FASE DE GRUPOS'!$E$31:$E$36)+SUMPRODUCT(('FASE DE GRUPOS'!$F$31:$F$36=$B$35)*'FASE DE GRUPOS'!$D$31:$D$36)</f>
        <v/>
      </c>
      <c r="I35" s="10">
        <f>$G$35-$H$35</f>
        <v/>
      </c>
      <c r="J35" s="19">
        <f>3*$D$35+$E$35</f>
        <v/>
      </c>
    </row>
    <row r="37">
      <c r="A37" s="15" t="inlineStr">
        <is>
          <t>GRUPO F</t>
        </is>
      </c>
      <c r="B37" s="16" t="n"/>
      <c r="C37" s="16" t="n"/>
      <c r="D37" s="16" t="n"/>
      <c r="E37" s="16" t="n"/>
      <c r="F37" s="16" t="n"/>
      <c r="G37" s="16" t="n"/>
      <c r="H37" s="16" t="n"/>
      <c r="I37" s="16" t="n"/>
      <c r="J37" s="16" t="n"/>
    </row>
    <row r="38">
      <c r="A38" s="9" t="inlineStr">
        <is>
          <t>POS</t>
        </is>
      </c>
      <c r="B38" s="9" t="inlineStr">
        <is>
          <t>EQUIPO</t>
        </is>
      </c>
      <c r="C38" s="9" t="inlineStr">
        <is>
          <t>PJ</t>
        </is>
      </c>
      <c r="D38" s="9" t="inlineStr">
        <is>
          <t>G</t>
        </is>
      </c>
      <c r="E38" s="9" t="inlineStr">
        <is>
          <t>E</t>
        </is>
      </c>
      <c r="F38" s="9" t="inlineStr">
        <is>
          <t>P</t>
        </is>
      </c>
      <c r="G38" s="9" t="inlineStr">
        <is>
          <t>GF</t>
        </is>
      </c>
      <c r="H38" s="9" t="inlineStr">
        <is>
          <t>GC</t>
        </is>
      </c>
      <c r="I38" s="9" t="inlineStr">
        <is>
          <t>DIF</t>
        </is>
      </c>
      <c r="J38" s="9" t="inlineStr">
        <is>
          <t>PTS</t>
        </is>
      </c>
    </row>
    <row r="39">
      <c r="A39" s="17">
        <f>1+SUMPRODUCT(($J$39:$J$42&gt;$J$39)*1)+SUMPRODUCT(($J$39:$J$42=$J$39)*($I$39:$I$42&gt;$I$39)*1)+SUMPRODUCT(($J$39:$J$42=$J$39)*($I$39:$I$42=$I$39)*($G$39:$G$42&gt;$G$39)*1)</f>
        <v/>
      </c>
      <c r="B39" s="18" t="inlineStr">
        <is>
          <t>Países Bajos</t>
        </is>
      </c>
      <c r="C39" s="10">
        <f>SUMPRODUCT(('FASE DE GRUPOS'!$C$38:$C$43=$B$39)*('FASE DE GRUPOS'!$D$38:$D$43&lt;&gt;""))+SUMPRODUCT(('FASE DE GRUPOS'!$F$38:$F$43=$B$39)*('FASE DE GRUPOS'!$E$38:$E$43&lt;&gt;""))</f>
        <v/>
      </c>
      <c r="D39" s="10">
        <f>SUMPRODUCT(('FASE DE GRUPOS'!$C$38:$C$43=$B$39)*('FASE DE GRUPOS'!$D$38:$D$43&gt;'FASE DE GRUPOS'!$E$38:$E$43)*('FASE DE GRUPOS'!$D$38:$D$43&lt;&gt;""))+SUMPRODUCT(('FASE DE GRUPOS'!$F$38:$F$43=$B$39)*('FASE DE GRUPOS'!$E$38:$E$43&gt;'FASE DE GRUPOS'!$D$38:$D$43)*('FASE DE GRUPOS'!$E$38:$E$43&lt;&gt;""))</f>
        <v/>
      </c>
      <c r="E39" s="10">
        <f>SUMPRODUCT(('FASE DE GRUPOS'!$C$38:$C$43=$B$39)*('FASE DE GRUPOS'!$D$38:$D$43='FASE DE GRUPOS'!$E$38:$E$43)*('FASE DE GRUPOS'!$D$38:$D$43&lt;&gt;""))+SUMPRODUCT(('FASE DE GRUPOS'!$F$38:$F$43=$B$39)*('FASE DE GRUPOS'!$E$38:$E$43='FASE DE GRUPOS'!$D$38:$D$43)*('FASE DE GRUPOS'!$E$38:$E$43&lt;&gt;""))</f>
        <v/>
      </c>
      <c r="F39" s="10">
        <f>$C$39-$D$39-$E$39</f>
        <v/>
      </c>
      <c r="G39" s="10">
        <f>SUMPRODUCT(('FASE DE GRUPOS'!$C$38:$C$43=$B$39)*'FASE DE GRUPOS'!$D$38:$D$43)+SUMPRODUCT(('FASE DE GRUPOS'!$F$38:$F$43=$B$39)*'FASE DE GRUPOS'!$E$38:$E$43)</f>
        <v/>
      </c>
      <c r="H39" s="10">
        <f>SUMPRODUCT(('FASE DE GRUPOS'!$C$38:$C$43=$B$39)*'FASE DE GRUPOS'!$E$38:$E$43)+SUMPRODUCT(('FASE DE GRUPOS'!$F$38:$F$43=$B$39)*'FASE DE GRUPOS'!$D$38:$D$43)</f>
        <v/>
      </c>
      <c r="I39" s="10">
        <f>$G$39-$H$39</f>
        <v/>
      </c>
      <c r="J39" s="19">
        <f>3*$D$39+$E$39</f>
        <v/>
      </c>
    </row>
    <row r="40">
      <c r="A40" s="17">
        <f>1+SUMPRODUCT(($J$39:$J$42&gt;$J$40)*1)+SUMPRODUCT(($J$39:$J$42=$J$40)*($I$39:$I$42&gt;$I$40)*1)+SUMPRODUCT(($J$39:$J$42=$J$40)*($I$39:$I$42=$I$40)*($G$39:$G$42&gt;$G$40)*1)</f>
        <v/>
      </c>
      <c r="B40" s="18" t="inlineStr">
        <is>
          <t>Japón</t>
        </is>
      </c>
      <c r="C40" s="10">
        <f>SUMPRODUCT(('FASE DE GRUPOS'!$C$38:$C$43=$B$40)*('FASE DE GRUPOS'!$D$38:$D$43&lt;&gt;""))+SUMPRODUCT(('FASE DE GRUPOS'!$F$38:$F$43=$B$40)*('FASE DE GRUPOS'!$E$38:$E$43&lt;&gt;""))</f>
        <v/>
      </c>
      <c r="D40" s="10">
        <f>SUMPRODUCT(('FASE DE GRUPOS'!$C$38:$C$43=$B$40)*('FASE DE GRUPOS'!$D$38:$D$43&gt;'FASE DE GRUPOS'!$E$38:$E$43)*('FASE DE GRUPOS'!$D$38:$D$43&lt;&gt;""))+SUMPRODUCT(('FASE DE GRUPOS'!$F$38:$F$43=$B$40)*('FASE DE GRUPOS'!$E$38:$E$43&gt;'FASE DE GRUPOS'!$D$38:$D$43)*('FASE DE GRUPOS'!$E$38:$E$43&lt;&gt;""))</f>
        <v/>
      </c>
      <c r="E40" s="10">
        <f>SUMPRODUCT(('FASE DE GRUPOS'!$C$38:$C$43=$B$40)*('FASE DE GRUPOS'!$D$38:$D$43='FASE DE GRUPOS'!$E$38:$E$43)*('FASE DE GRUPOS'!$D$38:$D$43&lt;&gt;""))+SUMPRODUCT(('FASE DE GRUPOS'!$F$38:$F$43=$B$40)*('FASE DE GRUPOS'!$E$38:$E$43='FASE DE GRUPOS'!$D$38:$D$43)*('FASE DE GRUPOS'!$E$38:$E$43&lt;&gt;""))</f>
        <v/>
      </c>
      <c r="F40" s="10">
        <f>$C$40-$D$40-$E$40</f>
        <v/>
      </c>
      <c r="G40" s="10">
        <f>SUMPRODUCT(('FASE DE GRUPOS'!$C$38:$C$43=$B$40)*'FASE DE GRUPOS'!$D$38:$D$43)+SUMPRODUCT(('FASE DE GRUPOS'!$F$38:$F$43=$B$40)*'FASE DE GRUPOS'!$E$38:$E$43)</f>
        <v/>
      </c>
      <c r="H40" s="10">
        <f>SUMPRODUCT(('FASE DE GRUPOS'!$C$38:$C$43=$B$40)*'FASE DE GRUPOS'!$E$38:$E$43)+SUMPRODUCT(('FASE DE GRUPOS'!$F$38:$F$43=$B$40)*'FASE DE GRUPOS'!$D$38:$D$43)</f>
        <v/>
      </c>
      <c r="I40" s="10">
        <f>$G$40-$H$40</f>
        <v/>
      </c>
      <c r="J40" s="19">
        <f>3*$D$40+$E$40</f>
        <v/>
      </c>
    </row>
    <row r="41">
      <c r="A41" s="17">
        <f>1+SUMPRODUCT(($J$39:$J$42&gt;$J$41)*1)+SUMPRODUCT(($J$39:$J$42=$J$41)*($I$39:$I$42&gt;$I$41)*1)+SUMPRODUCT(($J$39:$J$42=$J$41)*($I$39:$I$42=$I$41)*($G$39:$G$42&gt;$G$41)*1)</f>
        <v/>
      </c>
      <c r="B41" s="18" t="inlineStr">
        <is>
          <t>Suecia</t>
        </is>
      </c>
      <c r="C41" s="10">
        <f>SUMPRODUCT(('FASE DE GRUPOS'!$C$38:$C$43=$B$41)*('FASE DE GRUPOS'!$D$38:$D$43&lt;&gt;""))+SUMPRODUCT(('FASE DE GRUPOS'!$F$38:$F$43=$B$41)*('FASE DE GRUPOS'!$E$38:$E$43&lt;&gt;""))</f>
        <v/>
      </c>
      <c r="D41" s="10">
        <f>SUMPRODUCT(('FASE DE GRUPOS'!$C$38:$C$43=$B$41)*('FASE DE GRUPOS'!$D$38:$D$43&gt;'FASE DE GRUPOS'!$E$38:$E$43)*('FASE DE GRUPOS'!$D$38:$D$43&lt;&gt;""))+SUMPRODUCT(('FASE DE GRUPOS'!$F$38:$F$43=$B$41)*('FASE DE GRUPOS'!$E$38:$E$43&gt;'FASE DE GRUPOS'!$D$38:$D$43)*('FASE DE GRUPOS'!$E$38:$E$43&lt;&gt;""))</f>
        <v/>
      </c>
      <c r="E41" s="10">
        <f>SUMPRODUCT(('FASE DE GRUPOS'!$C$38:$C$43=$B$41)*('FASE DE GRUPOS'!$D$38:$D$43='FASE DE GRUPOS'!$E$38:$E$43)*('FASE DE GRUPOS'!$D$38:$D$43&lt;&gt;""))+SUMPRODUCT(('FASE DE GRUPOS'!$F$38:$F$43=$B$41)*('FASE DE GRUPOS'!$E$38:$E$43='FASE DE GRUPOS'!$D$38:$D$43)*('FASE DE GRUPOS'!$E$38:$E$43&lt;&gt;""))</f>
        <v/>
      </c>
      <c r="F41" s="10">
        <f>$C$41-$D$41-$E$41</f>
        <v/>
      </c>
      <c r="G41" s="10">
        <f>SUMPRODUCT(('FASE DE GRUPOS'!$C$38:$C$43=$B$41)*'FASE DE GRUPOS'!$D$38:$D$43)+SUMPRODUCT(('FASE DE GRUPOS'!$F$38:$F$43=$B$41)*'FASE DE GRUPOS'!$E$38:$E$43)</f>
        <v/>
      </c>
      <c r="H41" s="10">
        <f>SUMPRODUCT(('FASE DE GRUPOS'!$C$38:$C$43=$B$41)*'FASE DE GRUPOS'!$E$38:$E$43)+SUMPRODUCT(('FASE DE GRUPOS'!$F$38:$F$43=$B$41)*'FASE DE GRUPOS'!$D$38:$D$43)</f>
        <v/>
      </c>
      <c r="I41" s="10">
        <f>$G$41-$H$41</f>
        <v/>
      </c>
      <c r="J41" s="19">
        <f>3*$D$41+$E$41</f>
        <v/>
      </c>
    </row>
    <row r="42">
      <c r="A42" s="17">
        <f>1+SUMPRODUCT(($J$39:$J$42&gt;$J$42)*1)+SUMPRODUCT(($J$39:$J$42=$J$42)*($I$39:$I$42&gt;$I$42)*1)+SUMPRODUCT(($J$39:$J$42=$J$42)*($I$39:$I$42=$I$42)*($G$39:$G$42&gt;$G$42)*1)</f>
        <v/>
      </c>
      <c r="B42" s="18" t="inlineStr">
        <is>
          <t>Túnez</t>
        </is>
      </c>
      <c r="C42" s="10">
        <f>SUMPRODUCT(('FASE DE GRUPOS'!$C$38:$C$43=$B$42)*('FASE DE GRUPOS'!$D$38:$D$43&lt;&gt;""))+SUMPRODUCT(('FASE DE GRUPOS'!$F$38:$F$43=$B$42)*('FASE DE GRUPOS'!$E$38:$E$43&lt;&gt;""))</f>
        <v/>
      </c>
      <c r="D42" s="10">
        <f>SUMPRODUCT(('FASE DE GRUPOS'!$C$38:$C$43=$B$42)*('FASE DE GRUPOS'!$D$38:$D$43&gt;'FASE DE GRUPOS'!$E$38:$E$43)*('FASE DE GRUPOS'!$D$38:$D$43&lt;&gt;""))+SUMPRODUCT(('FASE DE GRUPOS'!$F$38:$F$43=$B$42)*('FASE DE GRUPOS'!$E$38:$E$43&gt;'FASE DE GRUPOS'!$D$38:$D$43)*('FASE DE GRUPOS'!$E$38:$E$43&lt;&gt;""))</f>
        <v/>
      </c>
      <c r="E42" s="10">
        <f>SUMPRODUCT(('FASE DE GRUPOS'!$C$38:$C$43=$B$42)*('FASE DE GRUPOS'!$D$38:$D$43='FASE DE GRUPOS'!$E$38:$E$43)*('FASE DE GRUPOS'!$D$38:$D$43&lt;&gt;""))+SUMPRODUCT(('FASE DE GRUPOS'!$F$38:$F$43=$B$42)*('FASE DE GRUPOS'!$E$38:$E$43='FASE DE GRUPOS'!$D$38:$D$43)*('FASE DE GRUPOS'!$E$38:$E$43&lt;&gt;""))</f>
        <v/>
      </c>
      <c r="F42" s="10">
        <f>$C$42-$D$42-$E$42</f>
        <v/>
      </c>
      <c r="G42" s="10">
        <f>SUMPRODUCT(('FASE DE GRUPOS'!$C$38:$C$43=$B$42)*'FASE DE GRUPOS'!$D$38:$D$43)+SUMPRODUCT(('FASE DE GRUPOS'!$F$38:$F$43=$B$42)*'FASE DE GRUPOS'!$E$38:$E$43)</f>
        <v/>
      </c>
      <c r="H42" s="10">
        <f>SUMPRODUCT(('FASE DE GRUPOS'!$C$38:$C$43=$B$42)*'FASE DE GRUPOS'!$E$38:$E$43)+SUMPRODUCT(('FASE DE GRUPOS'!$F$38:$F$43=$B$42)*'FASE DE GRUPOS'!$D$38:$D$43)</f>
        <v/>
      </c>
      <c r="I42" s="10">
        <f>$G$42-$H$42</f>
        <v/>
      </c>
      <c r="J42" s="19">
        <f>3*$D$42+$E$42</f>
        <v/>
      </c>
    </row>
    <row r="44">
      <c r="A44" s="15" t="inlineStr">
        <is>
          <t>GRUPO G</t>
        </is>
      </c>
      <c r="B44" s="16" t="n"/>
      <c r="C44" s="16" t="n"/>
      <c r="D44" s="16" t="n"/>
      <c r="E44" s="16" t="n"/>
      <c r="F44" s="16" t="n"/>
      <c r="G44" s="16" t="n"/>
      <c r="H44" s="16" t="n"/>
      <c r="I44" s="16" t="n"/>
      <c r="J44" s="16" t="n"/>
    </row>
    <row r="45">
      <c r="A45" s="9" t="inlineStr">
        <is>
          <t>POS</t>
        </is>
      </c>
      <c r="B45" s="9" t="inlineStr">
        <is>
          <t>EQUIPO</t>
        </is>
      </c>
      <c r="C45" s="9" t="inlineStr">
        <is>
          <t>PJ</t>
        </is>
      </c>
      <c r="D45" s="9" t="inlineStr">
        <is>
          <t>G</t>
        </is>
      </c>
      <c r="E45" s="9" t="inlineStr">
        <is>
          <t>E</t>
        </is>
      </c>
      <c r="F45" s="9" t="inlineStr">
        <is>
          <t>P</t>
        </is>
      </c>
      <c r="G45" s="9" t="inlineStr">
        <is>
          <t>GF</t>
        </is>
      </c>
      <c r="H45" s="9" t="inlineStr">
        <is>
          <t>GC</t>
        </is>
      </c>
      <c r="I45" s="9" t="inlineStr">
        <is>
          <t>DIF</t>
        </is>
      </c>
      <c r="J45" s="9" t="inlineStr">
        <is>
          <t>PTS</t>
        </is>
      </c>
    </row>
    <row r="46">
      <c r="A46" s="17">
        <f>1+SUMPRODUCT(($J$46:$J$49&gt;$J$46)*1)+SUMPRODUCT(($J$46:$J$49=$J$46)*($I$46:$I$49&gt;$I$46)*1)+SUMPRODUCT(($J$46:$J$49=$J$46)*($I$46:$I$49=$I$46)*($G$46:$G$49&gt;$G$46)*1)</f>
        <v/>
      </c>
      <c r="B46" s="18" t="inlineStr">
        <is>
          <t>Bélgica</t>
        </is>
      </c>
      <c r="C46" s="10">
        <f>SUMPRODUCT(('FASE DE GRUPOS'!$C$45:$C$50=$B$46)*('FASE DE GRUPOS'!$D$45:$D$50&lt;&gt;""))+SUMPRODUCT(('FASE DE GRUPOS'!$F$45:$F$50=$B$46)*('FASE DE GRUPOS'!$E$45:$E$50&lt;&gt;""))</f>
        <v/>
      </c>
      <c r="D46" s="10">
        <f>SUMPRODUCT(('FASE DE GRUPOS'!$C$45:$C$50=$B$46)*('FASE DE GRUPOS'!$D$45:$D$50&gt;'FASE DE GRUPOS'!$E$45:$E$50)*('FASE DE GRUPOS'!$D$45:$D$50&lt;&gt;""))+SUMPRODUCT(('FASE DE GRUPOS'!$F$45:$F$50=$B$46)*('FASE DE GRUPOS'!$E$45:$E$50&gt;'FASE DE GRUPOS'!$D$45:$D$50)*('FASE DE GRUPOS'!$E$45:$E$50&lt;&gt;""))</f>
        <v/>
      </c>
      <c r="E46" s="10">
        <f>SUMPRODUCT(('FASE DE GRUPOS'!$C$45:$C$50=$B$46)*('FASE DE GRUPOS'!$D$45:$D$50='FASE DE GRUPOS'!$E$45:$E$50)*('FASE DE GRUPOS'!$D$45:$D$50&lt;&gt;""))+SUMPRODUCT(('FASE DE GRUPOS'!$F$45:$F$50=$B$46)*('FASE DE GRUPOS'!$E$45:$E$50='FASE DE GRUPOS'!$D$45:$D$50)*('FASE DE GRUPOS'!$E$45:$E$50&lt;&gt;""))</f>
        <v/>
      </c>
      <c r="F46" s="10">
        <f>$C$46-$D$46-$E$46</f>
        <v/>
      </c>
      <c r="G46" s="10">
        <f>SUMPRODUCT(('FASE DE GRUPOS'!$C$45:$C$50=$B$46)*'FASE DE GRUPOS'!$D$45:$D$50)+SUMPRODUCT(('FASE DE GRUPOS'!$F$45:$F$50=$B$46)*'FASE DE GRUPOS'!$E$45:$E$50)</f>
        <v/>
      </c>
      <c r="H46" s="10">
        <f>SUMPRODUCT(('FASE DE GRUPOS'!$C$45:$C$50=$B$46)*'FASE DE GRUPOS'!$E$45:$E$50)+SUMPRODUCT(('FASE DE GRUPOS'!$F$45:$F$50=$B$46)*'FASE DE GRUPOS'!$D$45:$D$50)</f>
        <v/>
      </c>
      <c r="I46" s="10">
        <f>$G$46-$H$46</f>
        <v/>
      </c>
      <c r="J46" s="19">
        <f>3*$D$46+$E$46</f>
        <v/>
      </c>
    </row>
    <row r="47">
      <c r="A47" s="17">
        <f>1+SUMPRODUCT(($J$46:$J$49&gt;$J$47)*1)+SUMPRODUCT(($J$46:$J$49=$J$47)*($I$46:$I$49&gt;$I$47)*1)+SUMPRODUCT(($J$46:$J$49=$J$47)*($I$46:$I$49=$I$47)*($G$46:$G$49&gt;$G$47)*1)</f>
        <v/>
      </c>
      <c r="B47" s="18" t="inlineStr">
        <is>
          <t>Egipto</t>
        </is>
      </c>
      <c r="C47" s="10">
        <f>SUMPRODUCT(('FASE DE GRUPOS'!$C$45:$C$50=$B$47)*('FASE DE GRUPOS'!$D$45:$D$50&lt;&gt;""))+SUMPRODUCT(('FASE DE GRUPOS'!$F$45:$F$50=$B$47)*('FASE DE GRUPOS'!$E$45:$E$50&lt;&gt;""))</f>
        <v/>
      </c>
      <c r="D47" s="10">
        <f>SUMPRODUCT(('FASE DE GRUPOS'!$C$45:$C$50=$B$47)*('FASE DE GRUPOS'!$D$45:$D$50&gt;'FASE DE GRUPOS'!$E$45:$E$50)*('FASE DE GRUPOS'!$D$45:$D$50&lt;&gt;""))+SUMPRODUCT(('FASE DE GRUPOS'!$F$45:$F$50=$B$47)*('FASE DE GRUPOS'!$E$45:$E$50&gt;'FASE DE GRUPOS'!$D$45:$D$50)*('FASE DE GRUPOS'!$E$45:$E$50&lt;&gt;""))</f>
        <v/>
      </c>
      <c r="E47" s="10">
        <f>SUMPRODUCT(('FASE DE GRUPOS'!$C$45:$C$50=$B$47)*('FASE DE GRUPOS'!$D$45:$D$50='FASE DE GRUPOS'!$E$45:$E$50)*('FASE DE GRUPOS'!$D$45:$D$50&lt;&gt;""))+SUMPRODUCT(('FASE DE GRUPOS'!$F$45:$F$50=$B$47)*('FASE DE GRUPOS'!$E$45:$E$50='FASE DE GRUPOS'!$D$45:$D$50)*('FASE DE GRUPOS'!$E$45:$E$50&lt;&gt;""))</f>
        <v/>
      </c>
      <c r="F47" s="10">
        <f>$C$47-$D$47-$E$47</f>
        <v/>
      </c>
      <c r="G47" s="10">
        <f>SUMPRODUCT(('FASE DE GRUPOS'!$C$45:$C$50=$B$47)*'FASE DE GRUPOS'!$D$45:$D$50)+SUMPRODUCT(('FASE DE GRUPOS'!$F$45:$F$50=$B$47)*'FASE DE GRUPOS'!$E$45:$E$50)</f>
        <v/>
      </c>
      <c r="H47" s="10">
        <f>SUMPRODUCT(('FASE DE GRUPOS'!$C$45:$C$50=$B$47)*'FASE DE GRUPOS'!$E$45:$E$50)+SUMPRODUCT(('FASE DE GRUPOS'!$F$45:$F$50=$B$47)*'FASE DE GRUPOS'!$D$45:$D$50)</f>
        <v/>
      </c>
      <c r="I47" s="10">
        <f>$G$47-$H$47</f>
        <v/>
      </c>
      <c r="J47" s="19">
        <f>3*$D$47+$E$47</f>
        <v/>
      </c>
    </row>
    <row r="48">
      <c r="A48" s="17">
        <f>1+SUMPRODUCT(($J$46:$J$49&gt;$J$48)*1)+SUMPRODUCT(($J$46:$J$49=$J$48)*($I$46:$I$49&gt;$I$48)*1)+SUMPRODUCT(($J$46:$J$49=$J$48)*($I$46:$I$49=$I$48)*($G$46:$G$49&gt;$G$48)*1)</f>
        <v/>
      </c>
      <c r="B48" s="18" t="inlineStr">
        <is>
          <t>Irán</t>
        </is>
      </c>
      <c r="C48" s="10">
        <f>SUMPRODUCT(('FASE DE GRUPOS'!$C$45:$C$50=$B$48)*('FASE DE GRUPOS'!$D$45:$D$50&lt;&gt;""))+SUMPRODUCT(('FASE DE GRUPOS'!$F$45:$F$50=$B$48)*('FASE DE GRUPOS'!$E$45:$E$50&lt;&gt;""))</f>
        <v/>
      </c>
      <c r="D48" s="10">
        <f>SUMPRODUCT(('FASE DE GRUPOS'!$C$45:$C$50=$B$48)*('FASE DE GRUPOS'!$D$45:$D$50&gt;'FASE DE GRUPOS'!$E$45:$E$50)*('FASE DE GRUPOS'!$D$45:$D$50&lt;&gt;""))+SUMPRODUCT(('FASE DE GRUPOS'!$F$45:$F$50=$B$48)*('FASE DE GRUPOS'!$E$45:$E$50&gt;'FASE DE GRUPOS'!$D$45:$D$50)*('FASE DE GRUPOS'!$E$45:$E$50&lt;&gt;""))</f>
        <v/>
      </c>
      <c r="E48" s="10">
        <f>SUMPRODUCT(('FASE DE GRUPOS'!$C$45:$C$50=$B$48)*('FASE DE GRUPOS'!$D$45:$D$50='FASE DE GRUPOS'!$E$45:$E$50)*('FASE DE GRUPOS'!$D$45:$D$50&lt;&gt;""))+SUMPRODUCT(('FASE DE GRUPOS'!$F$45:$F$50=$B$48)*('FASE DE GRUPOS'!$E$45:$E$50='FASE DE GRUPOS'!$D$45:$D$50)*('FASE DE GRUPOS'!$E$45:$E$50&lt;&gt;""))</f>
        <v/>
      </c>
      <c r="F48" s="10">
        <f>$C$48-$D$48-$E$48</f>
        <v/>
      </c>
      <c r="G48" s="10">
        <f>SUMPRODUCT(('FASE DE GRUPOS'!$C$45:$C$50=$B$48)*'FASE DE GRUPOS'!$D$45:$D$50)+SUMPRODUCT(('FASE DE GRUPOS'!$F$45:$F$50=$B$48)*'FASE DE GRUPOS'!$E$45:$E$50)</f>
        <v/>
      </c>
      <c r="H48" s="10">
        <f>SUMPRODUCT(('FASE DE GRUPOS'!$C$45:$C$50=$B$48)*'FASE DE GRUPOS'!$E$45:$E$50)+SUMPRODUCT(('FASE DE GRUPOS'!$F$45:$F$50=$B$48)*'FASE DE GRUPOS'!$D$45:$D$50)</f>
        <v/>
      </c>
      <c r="I48" s="10">
        <f>$G$48-$H$48</f>
        <v/>
      </c>
      <c r="J48" s="19">
        <f>3*$D$48+$E$48</f>
        <v/>
      </c>
    </row>
    <row r="49">
      <c r="A49" s="17">
        <f>1+SUMPRODUCT(($J$46:$J$49&gt;$J$49)*1)+SUMPRODUCT(($J$46:$J$49=$J$49)*($I$46:$I$49&gt;$I$49)*1)+SUMPRODUCT(($J$46:$J$49=$J$49)*($I$46:$I$49=$I$49)*($G$46:$G$49&gt;$G$49)*1)</f>
        <v/>
      </c>
      <c r="B49" s="18" t="inlineStr">
        <is>
          <t>Nueva Zelanda</t>
        </is>
      </c>
      <c r="C49" s="10">
        <f>SUMPRODUCT(('FASE DE GRUPOS'!$C$45:$C$50=$B$49)*('FASE DE GRUPOS'!$D$45:$D$50&lt;&gt;""))+SUMPRODUCT(('FASE DE GRUPOS'!$F$45:$F$50=$B$49)*('FASE DE GRUPOS'!$E$45:$E$50&lt;&gt;""))</f>
        <v/>
      </c>
      <c r="D49" s="10">
        <f>SUMPRODUCT(('FASE DE GRUPOS'!$C$45:$C$50=$B$49)*('FASE DE GRUPOS'!$D$45:$D$50&gt;'FASE DE GRUPOS'!$E$45:$E$50)*('FASE DE GRUPOS'!$D$45:$D$50&lt;&gt;""))+SUMPRODUCT(('FASE DE GRUPOS'!$F$45:$F$50=$B$49)*('FASE DE GRUPOS'!$E$45:$E$50&gt;'FASE DE GRUPOS'!$D$45:$D$50)*('FASE DE GRUPOS'!$E$45:$E$50&lt;&gt;""))</f>
        <v/>
      </c>
      <c r="E49" s="10">
        <f>SUMPRODUCT(('FASE DE GRUPOS'!$C$45:$C$50=$B$49)*('FASE DE GRUPOS'!$D$45:$D$50='FASE DE GRUPOS'!$E$45:$E$50)*('FASE DE GRUPOS'!$D$45:$D$50&lt;&gt;""))+SUMPRODUCT(('FASE DE GRUPOS'!$F$45:$F$50=$B$49)*('FASE DE GRUPOS'!$E$45:$E$50='FASE DE GRUPOS'!$D$45:$D$50)*('FASE DE GRUPOS'!$E$45:$E$50&lt;&gt;""))</f>
        <v/>
      </c>
      <c r="F49" s="10">
        <f>$C$49-$D$49-$E$49</f>
        <v/>
      </c>
      <c r="G49" s="10">
        <f>SUMPRODUCT(('FASE DE GRUPOS'!$C$45:$C$50=$B$49)*'FASE DE GRUPOS'!$D$45:$D$50)+SUMPRODUCT(('FASE DE GRUPOS'!$F$45:$F$50=$B$49)*'FASE DE GRUPOS'!$E$45:$E$50)</f>
        <v/>
      </c>
      <c r="H49" s="10">
        <f>SUMPRODUCT(('FASE DE GRUPOS'!$C$45:$C$50=$B$49)*'FASE DE GRUPOS'!$E$45:$E$50)+SUMPRODUCT(('FASE DE GRUPOS'!$F$45:$F$50=$B$49)*'FASE DE GRUPOS'!$D$45:$D$50)</f>
        <v/>
      </c>
      <c r="I49" s="10">
        <f>$G$49-$H$49</f>
        <v/>
      </c>
      <c r="J49" s="19">
        <f>3*$D$49+$E$49</f>
        <v/>
      </c>
    </row>
    <row r="51">
      <c r="A51" s="15" t="inlineStr">
        <is>
          <t>GRUPO H</t>
        </is>
      </c>
      <c r="B51" s="16" t="n"/>
      <c r="C51" s="16" t="n"/>
      <c r="D51" s="16" t="n"/>
      <c r="E51" s="16" t="n"/>
      <c r="F51" s="16" t="n"/>
      <c r="G51" s="16" t="n"/>
      <c r="H51" s="16" t="n"/>
      <c r="I51" s="16" t="n"/>
      <c r="J51" s="16" t="n"/>
    </row>
    <row r="52">
      <c r="A52" s="9" t="inlineStr">
        <is>
          <t>POS</t>
        </is>
      </c>
      <c r="B52" s="9" t="inlineStr">
        <is>
          <t>EQUIPO</t>
        </is>
      </c>
      <c r="C52" s="9" t="inlineStr">
        <is>
          <t>PJ</t>
        </is>
      </c>
      <c r="D52" s="9" t="inlineStr">
        <is>
          <t>G</t>
        </is>
      </c>
      <c r="E52" s="9" t="inlineStr">
        <is>
          <t>E</t>
        </is>
      </c>
      <c r="F52" s="9" t="inlineStr">
        <is>
          <t>P</t>
        </is>
      </c>
      <c r="G52" s="9" t="inlineStr">
        <is>
          <t>GF</t>
        </is>
      </c>
      <c r="H52" s="9" t="inlineStr">
        <is>
          <t>GC</t>
        </is>
      </c>
      <c r="I52" s="9" t="inlineStr">
        <is>
          <t>DIF</t>
        </is>
      </c>
      <c r="J52" s="9" t="inlineStr">
        <is>
          <t>PTS</t>
        </is>
      </c>
    </row>
    <row r="53">
      <c r="A53" s="17">
        <f>1+SUMPRODUCT(($J$53:$J$56&gt;$J$53)*1)+SUMPRODUCT(($J$53:$J$56=$J$53)*($I$53:$I$56&gt;$I$53)*1)+SUMPRODUCT(($J$53:$J$56=$J$53)*($I$53:$I$56=$I$53)*($G$53:$G$56&gt;$G$53)*1)</f>
        <v/>
      </c>
      <c r="B53" s="18" t="inlineStr">
        <is>
          <t>España</t>
        </is>
      </c>
      <c r="C53" s="10">
        <f>SUMPRODUCT(('FASE DE GRUPOS'!$C$52:$C$57=$B$53)*('FASE DE GRUPOS'!$D$52:$D$57&lt;&gt;""))+SUMPRODUCT(('FASE DE GRUPOS'!$F$52:$F$57=$B$53)*('FASE DE GRUPOS'!$E$52:$E$57&lt;&gt;""))</f>
        <v/>
      </c>
      <c r="D53" s="10">
        <f>SUMPRODUCT(('FASE DE GRUPOS'!$C$52:$C$57=$B$53)*('FASE DE GRUPOS'!$D$52:$D$57&gt;'FASE DE GRUPOS'!$E$52:$E$57)*('FASE DE GRUPOS'!$D$52:$D$57&lt;&gt;""))+SUMPRODUCT(('FASE DE GRUPOS'!$F$52:$F$57=$B$53)*('FASE DE GRUPOS'!$E$52:$E$57&gt;'FASE DE GRUPOS'!$D$52:$D$57)*('FASE DE GRUPOS'!$E$52:$E$57&lt;&gt;""))</f>
        <v/>
      </c>
      <c r="E53" s="10">
        <f>SUMPRODUCT(('FASE DE GRUPOS'!$C$52:$C$57=$B$53)*('FASE DE GRUPOS'!$D$52:$D$57='FASE DE GRUPOS'!$E$52:$E$57)*('FASE DE GRUPOS'!$D$52:$D$57&lt;&gt;""))+SUMPRODUCT(('FASE DE GRUPOS'!$F$52:$F$57=$B$53)*('FASE DE GRUPOS'!$E$52:$E$57='FASE DE GRUPOS'!$D$52:$D$57)*('FASE DE GRUPOS'!$E$52:$E$57&lt;&gt;""))</f>
        <v/>
      </c>
      <c r="F53" s="10">
        <f>$C$53-$D$53-$E$53</f>
        <v/>
      </c>
      <c r="G53" s="10">
        <f>SUMPRODUCT(('FASE DE GRUPOS'!$C$52:$C$57=$B$53)*'FASE DE GRUPOS'!$D$52:$D$57)+SUMPRODUCT(('FASE DE GRUPOS'!$F$52:$F$57=$B$53)*'FASE DE GRUPOS'!$E$52:$E$57)</f>
        <v/>
      </c>
      <c r="H53" s="10">
        <f>SUMPRODUCT(('FASE DE GRUPOS'!$C$52:$C$57=$B$53)*'FASE DE GRUPOS'!$E$52:$E$57)+SUMPRODUCT(('FASE DE GRUPOS'!$F$52:$F$57=$B$53)*'FASE DE GRUPOS'!$D$52:$D$57)</f>
        <v/>
      </c>
      <c r="I53" s="10">
        <f>$G$53-$H$53</f>
        <v/>
      </c>
      <c r="J53" s="19">
        <f>3*$D$53+$E$53</f>
        <v/>
      </c>
    </row>
    <row r="54">
      <c r="A54" s="17">
        <f>1+SUMPRODUCT(($J$53:$J$56&gt;$J$54)*1)+SUMPRODUCT(($J$53:$J$56=$J$54)*($I$53:$I$56&gt;$I$54)*1)+SUMPRODUCT(($J$53:$J$56=$J$54)*($I$53:$I$56=$I$54)*($G$53:$G$56&gt;$G$54)*1)</f>
        <v/>
      </c>
      <c r="B54" s="18" t="inlineStr">
        <is>
          <t>Cabo Verde</t>
        </is>
      </c>
      <c r="C54" s="10">
        <f>SUMPRODUCT(('FASE DE GRUPOS'!$C$52:$C$57=$B$54)*('FASE DE GRUPOS'!$D$52:$D$57&lt;&gt;""))+SUMPRODUCT(('FASE DE GRUPOS'!$F$52:$F$57=$B$54)*('FASE DE GRUPOS'!$E$52:$E$57&lt;&gt;""))</f>
        <v/>
      </c>
      <c r="D54" s="10">
        <f>SUMPRODUCT(('FASE DE GRUPOS'!$C$52:$C$57=$B$54)*('FASE DE GRUPOS'!$D$52:$D$57&gt;'FASE DE GRUPOS'!$E$52:$E$57)*('FASE DE GRUPOS'!$D$52:$D$57&lt;&gt;""))+SUMPRODUCT(('FASE DE GRUPOS'!$F$52:$F$57=$B$54)*('FASE DE GRUPOS'!$E$52:$E$57&gt;'FASE DE GRUPOS'!$D$52:$D$57)*('FASE DE GRUPOS'!$E$52:$E$57&lt;&gt;""))</f>
        <v/>
      </c>
      <c r="E54" s="10">
        <f>SUMPRODUCT(('FASE DE GRUPOS'!$C$52:$C$57=$B$54)*('FASE DE GRUPOS'!$D$52:$D$57='FASE DE GRUPOS'!$E$52:$E$57)*('FASE DE GRUPOS'!$D$52:$D$57&lt;&gt;""))+SUMPRODUCT(('FASE DE GRUPOS'!$F$52:$F$57=$B$54)*('FASE DE GRUPOS'!$E$52:$E$57='FASE DE GRUPOS'!$D$52:$D$57)*('FASE DE GRUPOS'!$E$52:$E$57&lt;&gt;""))</f>
        <v/>
      </c>
      <c r="F54" s="10">
        <f>$C$54-$D$54-$E$54</f>
        <v/>
      </c>
      <c r="G54" s="10">
        <f>SUMPRODUCT(('FASE DE GRUPOS'!$C$52:$C$57=$B$54)*'FASE DE GRUPOS'!$D$52:$D$57)+SUMPRODUCT(('FASE DE GRUPOS'!$F$52:$F$57=$B$54)*'FASE DE GRUPOS'!$E$52:$E$57)</f>
        <v/>
      </c>
      <c r="H54" s="10">
        <f>SUMPRODUCT(('FASE DE GRUPOS'!$C$52:$C$57=$B$54)*'FASE DE GRUPOS'!$E$52:$E$57)+SUMPRODUCT(('FASE DE GRUPOS'!$F$52:$F$57=$B$54)*'FASE DE GRUPOS'!$D$52:$D$57)</f>
        <v/>
      </c>
      <c r="I54" s="10">
        <f>$G$54-$H$54</f>
        <v/>
      </c>
      <c r="J54" s="19">
        <f>3*$D$54+$E$54</f>
        <v/>
      </c>
    </row>
    <row r="55">
      <c r="A55" s="17">
        <f>1+SUMPRODUCT(($J$53:$J$56&gt;$J$55)*1)+SUMPRODUCT(($J$53:$J$56=$J$55)*($I$53:$I$56&gt;$I$55)*1)+SUMPRODUCT(($J$53:$J$56=$J$55)*($I$53:$I$56=$I$55)*($G$53:$G$56&gt;$G$55)*1)</f>
        <v/>
      </c>
      <c r="B55" s="18" t="inlineStr">
        <is>
          <t>Arabia Saudita</t>
        </is>
      </c>
      <c r="C55" s="10">
        <f>SUMPRODUCT(('FASE DE GRUPOS'!$C$52:$C$57=$B$55)*('FASE DE GRUPOS'!$D$52:$D$57&lt;&gt;""))+SUMPRODUCT(('FASE DE GRUPOS'!$F$52:$F$57=$B$55)*('FASE DE GRUPOS'!$E$52:$E$57&lt;&gt;""))</f>
        <v/>
      </c>
      <c r="D55" s="10">
        <f>SUMPRODUCT(('FASE DE GRUPOS'!$C$52:$C$57=$B$55)*('FASE DE GRUPOS'!$D$52:$D$57&gt;'FASE DE GRUPOS'!$E$52:$E$57)*('FASE DE GRUPOS'!$D$52:$D$57&lt;&gt;""))+SUMPRODUCT(('FASE DE GRUPOS'!$F$52:$F$57=$B$55)*('FASE DE GRUPOS'!$E$52:$E$57&gt;'FASE DE GRUPOS'!$D$52:$D$57)*('FASE DE GRUPOS'!$E$52:$E$57&lt;&gt;""))</f>
        <v/>
      </c>
      <c r="E55" s="10">
        <f>SUMPRODUCT(('FASE DE GRUPOS'!$C$52:$C$57=$B$55)*('FASE DE GRUPOS'!$D$52:$D$57='FASE DE GRUPOS'!$E$52:$E$57)*('FASE DE GRUPOS'!$D$52:$D$57&lt;&gt;""))+SUMPRODUCT(('FASE DE GRUPOS'!$F$52:$F$57=$B$55)*('FASE DE GRUPOS'!$E$52:$E$57='FASE DE GRUPOS'!$D$52:$D$57)*('FASE DE GRUPOS'!$E$52:$E$57&lt;&gt;""))</f>
        <v/>
      </c>
      <c r="F55" s="10">
        <f>$C$55-$D$55-$E$55</f>
        <v/>
      </c>
      <c r="G55" s="10">
        <f>SUMPRODUCT(('FASE DE GRUPOS'!$C$52:$C$57=$B$55)*'FASE DE GRUPOS'!$D$52:$D$57)+SUMPRODUCT(('FASE DE GRUPOS'!$F$52:$F$57=$B$55)*'FASE DE GRUPOS'!$E$52:$E$57)</f>
        <v/>
      </c>
      <c r="H55" s="10">
        <f>SUMPRODUCT(('FASE DE GRUPOS'!$C$52:$C$57=$B$55)*'FASE DE GRUPOS'!$E$52:$E$57)+SUMPRODUCT(('FASE DE GRUPOS'!$F$52:$F$57=$B$55)*'FASE DE GRUPOS'!$D$52:$D$57)</f>
        <v/>
      </c>
      <c r="I55" s="10">
        <f>$G$55-$H$55</f>
        <v/>
      </c>
      <c r="J55" s="19">
        <f>3*$D$55+$E$55</f>
        <v/>
      </c>
    </row>
    <row r="56">
      <c r="A56" s="17">
        <f>1+SUMPRODUCT(($J$53:$J$56&gt;$J$56)*1)+SUMPRODUCT(($J$53:$J$56=$J$56)*($I$53:$I$56&gt;$I$56)*1)+SUMPRODUCT(($J$53:$J$56=$J$56)*($I$53:$I$56=$I$56)*($G$53:$G$56&gt;$G$56)*1)</f>
        <v/>
      </c>
      <c r="B56" s="18" t="inlineStr">
        <is>
          <t>Uruguay</t>
        </is>
      </c>
      <c r="C56" s="10">
        <f>SUMPRODUCT(('FASE DE GRUPOS'!$C$52:$C$57=$B$56)*('FASE DE GRUPOS'!$D$52:$D$57&lt;&gt;""))+SUMPRODUCT(('FASE DE GRUPOS'!$F$52:$F$57=$B$56)*('FASE DE GRUPOS'!$E$52:$E$57&lt;&gt;""))</f>
        <v/>
      </c>
      <c r="D56" s="10">
        <f>SUMPRODUCT(('FASE DE GRUPOS'!$C$52:$C$57=$B$56)*('FASE DE GRUPOS'!$D$52:$D$57&gt;'FASE DE GRUPOS'!$E$52:$E$57)*('FASE DE GRUPOS'!$D$52:$D$57&lt;&gt;""))+SUMPRODUCT(('FASE DE GRUPOS'!$F$52:$F$57=$B$56)*('FASE DE GRUPOS'!$E$52:$E$57&gt;'FASE DE GRUPOS'!$D$52:$D$57)*('FASE DE GRUPOS'!$E$52:$E$57&lt;&gt;""))</f>
        <v/>
      </c>
      <c r="E56" s="10">
        <f>SUMPRODUCT(('FASE DE GRUPOS'!$C$52:$C$57=$B$56)*('FASE DE GRUPOS'!$D$52:$D$57='FASE DE GRUPOS'!$E$52:$E$57)*('FASE DE GRUPOS'!$D$52:$D$57&lt;&gt;""))+SUMPRODUCT(('FASE DE GRUPOS'!$F$52:$F$57=$B$56)*('FASE DE GRUPOS'!$E$52:$E$57='FASE DE GRUPOS'!$D$52:$D$57)*('FASE DE GRUPOS'!$E$52:$E$57&lt;&gt;""))</f>
        <v/>
      </c>
      <c r="F56" s="10">
        <f>$C$56-$D$56-$E$56</f>
        <v/>
      </c>
      <c r="G56" s="10">
        <f>SUMPRODUCT(('FASE DE GRUPOS'!$C$52:$C$57=$B$56)*'FASE DE GRUPOS'!$D$52:$D$57)+SUMPRODUCT(('FASE DE GRUPOS'!$F$52:$F$57=$B$56)*'FASE DE GRUPOS'!$E$52:$E$57)</f>
        <v/>
      </c>
      <c r="H56" s="10">
        <f>SUMPRODUCT(('FASE DE GRUPOS'!$C$52:$C$57=$B$56)*'FASE DE GRUPOS'!$E$52:$E$57)+SUMPRODUCT(('FASE DE GRUPOS'!$F$52:$F$57=$B$56)*'FASE DE GRUPOS'!$D$52:$D$57)</f>
        <v/>
      </c>
      <c r="I56" s="10">
        <f>$G$56-$H$56</f>
        <v/>
      </c>
      <c r="J56" s="19">
        <f>3*$D$56+$E$56</f>
        <v/>
      </c>
    </row>
    <row r="58">
      <c r="A58" s="15" t="inlineStr">
        <is>
          <t>GRUPO I</t>
        </is>
      </c>
      <c r="B58" s="16" t="n"/>
      <c r="C58" s="16" t="n"/>
      <c r="D58" s="16" t="n"/>
      <c r="E58" s="16" t="n"/>
      <c r="F58" s="16" t="n"/>
      <c r="G58" s="16" t="n"/>
      <c r="H58" s="16" t="n"/>
      <c r="I58" s="16" t="n"/>
      <c r="J58" s="16" t="n"/>
    </row>
    <row r="59">
      <c r="A59" s="9" t="inlineStr">
        <is>
          <t>POS</t>
        </is>
      </c>
      <c r="B59" s="9" t="inlineStr">
        <is>
          <t>EQUIPO</t>
        </is>
      </c>
      <c r="C59" s="9" t="inlineStr">
        <is>
          <t>PJ</t>
        </is>
      </c>
      <c r="D59" s="9" t="inlineStr">
        <is>
          <t>G</t>
        </is>
      </c>
      <c r="E59" s="9" t="inlineStr">
        <is>
          <t>E</t>
        </is>
      </c>
      <c r="F59" s="9" t="inlineStr">
        <is>
          <t>P</t>
        </is>
      </c>
      <c r="G59" s="9" t="inlineStr">
        <is>
          <t>GF</t>
        </is>
      </c>
      <c r="H59" s="9" t="inlineStr">
        <is>
          <t>GC</t>
        </is>
      </c>
      <c r="I59" s="9" t="inlineStr">
        <is>
          <t>DIF</t>
        </is>
      </c>
      <c r="J59" s="9" t="inlineStr">
        <is>
          <t>PTS</t>
        </is>
      </c>
    </row>
    <row r="60">
      <c r="A60" s="17">
        <f>1+SUMPRODUCT(($J$60:$J$63&gt;$J$60)*1)+SUMPRODUCT(($J$60:$J$63=$J$60)*($I$60:$I$63&gt;$I$60)*1)+SUMPRODUCT(($J$60:$J$63=$J$60)*($I$60:$I$63=$I$60)*($G$60:$G$63&gt;$G$60)*1)</f>
        <v/>
      </c>
      <c r="B60" s="18" t="inlineStr">
        <is>
          <t>Francia</t>
        </is>
      </c>
      <c r="C60" s="10">
        <f>SUMPRODUCT(('FASE DE GRUPOS'!$C$59:$C$64=$B$60)*('FASE DE GRUPOS'!$D$59:$D$64&lt;&gt;""))+SUMPRODUCT(('FASE DE GRUPOS'!$F$59:$F$64=$B$60)*('FASE DE GRUPOS'!$E$59:$E$64&lt;&gt;""))</f>
        <v/>
      </c>
      <c r="D60" s="10">
        <f>SUMPRODUCT(('FASE DE GRUPOS'!$C$59:$C$64=$B$60)*('FASE DE GRUPOS'!$D$59:$D$64&gt;'FASE DE GRUPOS'!$E$59:$E$64)*('FASE DE GRUPOS'!$D$59:$D$64&lt;&gt;""))+SUMPRODUCT(('FASE DE GRUPOS'!$F$59:$F$64=$B$60)*('FASE DE GRUPOS'!$E$59:$E$64&gt;'FASE DE GRUPOS'!$D$59:$D$64)*('FASE DE GRUPOS'!$E$59:$E$64&lt;&gt;""))</f>
        <v/>
      </c>
      <c r="E60" s="10">
        <f>SUMPRODUCT(('FASE DE GRUPOS'!$C$59:$C$64=$B$60)*('FASE DE GRUPOS'!$D$59:$D$64='FASE DE GRUPOS'!$E$59:$E$64)*('FASE DE GRUPOS'!$D$59:$D$64&lt;&gt;""))+SUMPRODUCT(('FASE DE GRUPOS'!$F$59:$F$64=$B$60)*('FASE DE GRUPOS'!$E$59:$E$64='FASE DE GRUPOS'!$D$59:$D$64)*('FASE DE GRUPOS'!$E$59:$E$64&lt;&gt;""))</f>
        <v/>
      </c>
      <c r="F60" s="10">
        <f>$C$60-$D$60-$E$60</f>
        <v/>
      </c>
      <c r="G60" s="10">
        <f>SUMPRODUCT(('FASE DE GRUPOS'!$C$59:$C$64=$B$60)*'FASE DE GRUPOS'!$D$59:$D$64)+SUMPRODUCT(('FASE DE GRUPOS'!$F$59:$F$64=$B$60)*'FASE DE GRUPOS'!$E$59:$E$64)</f>
        <v/>
      </c>
      <c r="H60" s="10">
        <f>SUMPRODUCT(('FASE DE GRUPOS'!$C$59:$C$64=$B$60)*'FASE DE GRUPOS'!$E$59:$E$64)+SUMPRODUCT(('FASE DE GRUPOS'!$F$59:$F$64=$B$60)*'FASE DE GRUPOS'!$D$59:$D$64)</f>
        <v/>
      </c>
      <c r="I60" s="10">
        <f>$G$60-$H$60</f>
        <v/>
      </c>
      <c r="J60" s="19">
        <f>3*$D$60+$E$60</f>
        <v/>
      </c>
    </row>
    <row r="61">
      <c r="A61" s="17">
        <f>1+SUMPRODUCT(($J$60:$J$63&gt;$J$61)*1)+SUMPRODUCT(($J$60:$J$63=$J$61)*($I$60:$I$63&gt;$I$61)*1)+SUMPRODUCT(($J$60:$J$63=$J$61)*($I$60:$I$63=$I$61)*($G$60:$G$63&gt;$G$61)*1)</f>
        <v/>
      </c>
      <c r="B61" s="18" t="inlineStr">
        <is>
          <t>Senegal</t>
        </is>
      </c>
      <c r="C61" s="10">
        <f>SUMPRODUCT(('FASE DE GRUPOS'!$C$59:$C$64=$B$61)*('FASE DE GRUPOS'!$D$59:$D$64&lt;&gt;""))+SUMPRODUCT(('FASE DE GRUPOS'!$F$59:$F$64=$B$61)*('FASE DE GRUPOS'!$E$59:$E$64&lt;&gt;""))</f>
        <v/>
      </c>
      <c r="D61" s="10">
        <f>SUMPRODUCT(('FASE DE GRUPOS'!$C$59:$C$64=$B$61)*('FASE DE GRUPOS'!$D$59:$D$64&gt;'FASE DE GRUPOS'!$E$59:$E$64)*('FASE DE GRUPOS'!$D$59:$D$64&lt;&gt;""))+SUMPRODUCT(('FASE DE GRUPOS'!$F$59:$F$64=$B$61)*('FASE DE GRUPOS'!$E$59:$E$64&gt;'FASE DE GRUPOS'!$D$59:$D$64)*('FASE DE GRUPOS'!$E$59:$E$64&lt;&gt;""))</f>
        <v/>
      </c>
      <c r="E61" s="10">
        <f>SUMPRODUCT(('FASE DE GRUPOS'!$C$59:$C$64=$B$61)*('FASE DE GRUPOS'!$D$59:$D$64='FASE DE GRUPOS'!$E$59:$E$64)*('FASE DE GRUPOS'!$D$59:$D$64&lt;&gt;""))+SUMPRODUCT(('FASE DE GRUPOS'!$F$59:$F$64=$B$61)*('FASE DE GRUPOS'!$E$59:$E$64='FASE DE GRUPOS'!$D$59:$D$64)*('FASE DE GRUPOS'!$E$59:$E$64&lt;&gt;""))</f>
        <v/>
      </c>
      <c r="F61" s="10">
        <f>$C$61-$D$61-$E$61</f>
        <v/>
      </c>
      <c r="G61" s="10">
        <f>SUMPRODUCT(('FASE DE GRUPOS'!$C$59:$C$64=$B$61)*'FASE DE GRUPOS'!$D$59:$D$64)+SUMPRODUCT(('FASE DE GRUPOS'!$F$59:$F$64=$B$61)*'FASE DE GRUPOS'!$E$59:$E$64)</f>
        <v/>
      </c>
      <c r="H61" s="10">
        <f>SUMPRODUCT(('FASE DE GRUPOS'!$C$59:$C$64=$B$61)*'FASE DE GRUPOS'!$E$59:$E$64)+SUMPRODUCT(('FASE DE GRUPOS'!$F$59:$F$64=$B$61)*'FASE DE GRUPOS'!$D$59:$D$64)</f>
        <v/>
      </c>
      <c r="I61" s="10">
        <f>$G$61-$H$61</f>
        <v/>
      </c>
      <c r="J61" s="19">
        <f>3*$D$61+$E$61</f>
        <v/>
      </c>
    </row>
    <row r="62">
      <c r="A62" s="17">
        <f>1+SUMPRODUCT(($J$60:$J$63&gt;$J$62)*1)+SUMPRODUCT(($J$60:$J$63=$J$62)*($I$60:$I$63&gt;$I$62)*1)+SUMPRODUCT(($J$60:$J$63=$J$62)*($I$60:$I$63=$I$62)*($G$60:$G$63&gt;$G$62)*1)</f>
        <v/>
      </c>
      <c r="B62" s="18" t="inlineStr">
        <is>
          <t>Irak</t>
        </is>
      </c>
      <c r="C62" s="10">
        <f>SUMPRODUCT(('FASE DE GRUPOS'!$C$59:$C$64=$B$62)*('FASE DE GRUPOS'!$D$59:$D$64&lt;&gt;""))+SUMPRODUCT(('FASE DE GRUPOS'!$F$59:$F$64=$B$62)*('FASE DE GRUPOS'!$E$59:$E$64&lt;&gt;""))</f>
        <v/>
      </c>
      <c r="D62" s="10">
        <f>SUMPRODUCT(('FASE DE GRUPOS'!$C$59:$C$64=$B$62)*('FASE DE GRUPOS'!$D$59:$D$64&gt;'FASE DE GRUPOS'!$E$59:$E$64)*('FASE DE GRUPOS'!$D$59:$D$64&lt;&gt;""))+SUMPRODUCT(('FASE DE GRUPOS'!$F$59:$F$64=$B$62)*('FASE DE GRUPOS'!$E$59:$E$64&gt;'FASE DE GRUPOS'!$D$59:$D$64)*('FASE DE GRUPOS'!$E$59:$E$64&lt;&gt;""))</f>
        <v/>
      </c>
      <c r="E62" s="10">
        <f>SUMPRODUCT(('FASE DE GRUPOS'!$C$59:$C$64=$B$62)*('FASE DE GRUPOS'!$D$59:$D$64='FASE DE GRUPOS'!$E$59:$E$64)*('FASE DE GRUPOS'!$D$59:$D$64&lt;&gt;""))+SUMPRODUCT(('FASE DE GRUPOS'!$F$59:$F$64=$B$62)*('FASE DE GRUPOS'!$E$59:$E$64='FASE DE GRUPOS'!$D$59:$D$64)*('FASE DE GRUPOS'!$E$59:$E$64&lt;&gt;""))</f>
        <v/>
      </c>
      <c r="F62" s="10">
        <f>$C$62-$D$62-$E$62</f>
        <v/>
      </c>
      <c r="G62" s="10">
        <f>SUMPRODUCT(('FASE DE GRUPOS'!$C$59:$C$64=$B$62)*'FASE DE GRUPOS'!$D$59:$D$64)+SUMPRODUCT(('FASE DE GRUPOS'!$F$59:$F$64=$B$62)*'FASE DE GRUPOS'!$E$59:$E$64)</f>
        <v/>
      </c>
      <c r="H62" s="10">
        <f>SUMPRODUCT(('FASE DE GRUPOS'!$C$59:$C$64=$B$62)*'FASE DE GRUPOS'!$E$59:$E$64)+SUMPRODUCT(('FASE DE GRUPOS'!$F$59:$F$64=$B$62)*'FASE DE GRUPOS'!$D$59:$D$64)</f>
        <v/>
      </c>
      <c r="I62" s="10">
        <f>$G$62-$H$62</f>
        <v/>
      </c>
      <c r="J62" s="19">
        <f>3*$D$62+$E$62</f>
        <v/>
      </c>
    </row>
    <row r="63">
      <c r="A63" s="17">
        <f>1+SUMPRODUCT(($J$60:$J$63&gt;$J$63)*1)+SUMPRODUCT(($J$60:$J$63=$J$63)*($I$60:$I$63&gt;$I$63)*1)+SUMPRODUCT(($J$60:$J$63=$J$63)*($I$60:$I$63=$I$63)*($G$60:$G$63&gt;$G$63)*1)</f>
        <v/>
      </c>
      <c r="B63" s="18" t="inlineStr">
        <is>
          <t>Noruega</t>
        </is>
      </c>
      <c r="C63" s="10">
        <f>SUMPRODUCT(('FASE DE GRUPOS'!$C$59:$C$64=$B$63)*('FASE DE GRUPOS'!$D$59:$D$64&lt;&gt;""))+SUMPRODUCT(('FASE DE GRUPOS'!$F$59:$F$64=$B$63)*('FASE DE GRUPOS'!$E$59:$E$64&lt;&gt;""))</f>
        <v/>
      </c>
      <c r="D63" s="10">
        <f>SUMPRODUCT(('FASE DE GRUPOS'!$C$59:$C$64=$B$63)*('FASE DE GRUPOS'!$D$59:$D$64&gt;'FASE DE GRUPOS'!$E$59:$E$64)*('FASE DE GRUPOS'!$D$59:$D$64&lt;&gt;""))+SUMPRODUCT(('FASE DE GRUPOS'!$F$59:$F$64=$B$63)*('FASE DE GRUPOS'!$E$59:$E$64&gt;'FASE DE GRUPOS'!$D$59:$D$64)*('FASE DE GRUPOS'!$E$59:$E$64&lt;&gt;""))</f>
        <v/>
      </c>
      <c r="E63" s="10">
        <f>SUMPRODUCT(('FASE DE GRUPOS'!$C$59:$C$64=$B$63)*('FASE DE GRUPOS'!$D$59:$D$64='FASE DE GRUPOS'!$E$59:$E$64)*('FASE DE GRUPOS'!$D$59:$D$64&lt;&gt;""))+SUMPRODUCT(('FASE DE GRUPOS'!$F$59:$F$64=$B$63)*('FASE DE GRUPOS'!$E$59:$E$64='FASE DE GRUPOS'!$D$59:$D$64)*('FASE DE GRUPOS'!$E$59:$E$64&lt;&gt;""))</f>
        <v/>
      </c>
      <c r="F63" s="10">
        <f>$C$63-$D$63-$E$63</f>
        <v/>
      </c>
      <c r="G63" s="10">
        <f>SUMPRODUCT(('FASE DE GRUPOS'!$C$59:$C$64=$B$63)*'FASE DE GRUPOS'!$D$59:$D$64)+SUMPRODUCT(('FASE DE GRUPOS'!$F$59:$F$64=$B$63)*'FASE DE GRUPOS'!$E$59:$E$64)</f>
        <v/>
      </c>
      <c r="H63" s="10">
        <f>SUMPRODUCT(('FASE DE GRUPOS'!$C$59:$C$64=$B$63)*'FASE DE GRUPOS'!$E$59:$E$64)+SUMPRODUCT(('FASE DE GRUPOS'!$F$59:$F$64=$B$63)*'FASE DE GRUPOS'!$D$59:$D$64)</f>
        <v/>
      </c>
      <c r="I63" s="10">
        <f>$G$63-$H$63</f>
        <v/>
      </c>
      <c r="J63" s="19">
        <f>3*$D$63+$E$63</f>
        <v/>
      </c>
    </row>
    <row r="65">
      <c r="A65" s="15" t="inlineStr">
        <is>
          <t>GRUPO J</t>
        </is>
      </c>
      <c r="B65" s="16" t="n"/>
      <c r="C65" s="16" t="n"/>
      <c r="D65" s="16" t="n"/>
      <c r="E65" s="16" t="n"/>
      <c r="F65" s="16" t="n"/>
      <c r="G65" s="16" t="n"/>
      <c r="H65" s="16" t="n"/>
      <c r="I65" s="16" t="n"/>
      <c r="J65" s="16" t="n"/>
    </row>
    <row r="66">
      <c r="A66" s="9" t="inlineStr">
        <is>
          <t>POS</t>
        </is>
      </c>
      <c r="B66" s="9" t="inlineStr">
        <is>
          <t>EQUIPO</t>
        </is>
      </c>
      <c r="C66" s="9" t="inlineStr">
        <is>
          <t>PJ</t>
        </is>
      </c>
      <c r="D66" s="9" t="inlineStr">
        <is>
          <t>G</t>
        </is>
      </c>
      <c r="E66" s="9" t="inlineStr">
        <is>
          <t>E</t>
        </is>
      </c>
      <c r="F66" s="9" t="inlineStr">
        <is>
          <t>P</t>
        </is>
      </c>
      <c r="G66" s="9" t="inlineStr">
        <is>
          <t>GF</t>
        </is>
      </c>
      <c r="H66" s="9" t="inlineStr">
        <is>
          <t>GC</t>
        </is>
      </c>
      <c r="I66" s="9" t="inlineStr">
        <is>
          <t>DIF</t>
        </is>
      </c>
      <c r="J66" s="9" t="inlineStr">
        <is>
          <t>PTS</t>
        </is>
      </c>
    </row>
    <row r="67">
      <c r="A67" s="17">
        <f>1+SUMPRODUCT(($J$67:$J$70&gt;$J$67)*1)+SUMPRODUCT(($J$67:$J$70=$J$67)*($I$67:$I$70&gt;$I$67)*1)+SUMPRODUCT(($J$67:$J$70=$J$67)*($I$67:$I$70=$I$67)*($G$67:$G$70&gt;$G$67)*1)</f>
        <v/>
      </c>
      <c r="B67" s="18" t="inlineStr">
        <is>
          <t>Argentina</t>
        </is>
      </c>
      <c r="C67" s="10">
        <f>SUMPRODUCT(('FASE DE GRUPOS'!$C$66:$C$71=$B$67)*('FASE DE GRUPOS'!$D$66:$D$71&lt;&gt;""))+SUMPRODUCT(('FASE DE GRUPOS'!$F$66:$F$71=$B$67)*('FASE DE GRUPOS'!$E$66:$E$71&lt;&gt;""))</f>
        <v/>
      </c>
      <c r="D67" s="10">
        <f>SUMPRODUCT(('FASE DE GRUPOS'!$C$66:$C$71=$B$67)*('FASE DE GRUPOS'!$D$66:$D$71&gt;'FASE DE GRUPOS'!$E$66:$E$71)*('FASE DE GRUPOS'!$D$66:$D$71&lt;&gt;""))+SUMPRODUCT(('FASE DE GRUPOS'!$F$66:$F$71=$B$67)*('FASE DE GRUPOS'!$E$66:$E$71&gt;'FASE DE GRUPOS'!$D$66:$D$71)*('FASE DE GRUPOS'!$E$66:$E$71&lt;&gt;""))</f>
        <v/>
      </c>
      <c r="E67" s="10">
        <f>SUMPRODUCT(('FASE DE GRUPOS'!$C$66:$C$71=$B$67)*('FASE DE GRUPOS'!$D$66:$D$71='FASE DE GRUPOS'!$E$66:$E$71)*('FASE DE GRUPOS'!$D$66:$D$71&lt;&gt;""))+SUMPRODUCT(('FASE DE GRUPOS'!$F$66:$F$71=$B$67)*('FASE DE GRUPOS'!$E$66:$E$71='FASE DE GRUPOS'!$D$66:$D$71)*('FASE DE GRUPOS'!$E$66:$E$71&lt;&gt;""))</f>
        <v/>
      </c>
      <c r="F67" s="10">
        <f>$C$67-$D$67-$E$67</f>
        <v/>
      </c>
      <c r="G67" s="10">
        <f>SUMPRODUCT(('FASE DE GRUPOS'!$C$66:$C$71=$B$67)*'FASE DE GRUPOS'!$D$66:$D$71)+SUMPRODUCT(('FASE DE GRUPOS'!$F$66:$F$71=$B$67)*'FASE DE GRUPOS'!$E$66:$E$71)</f>
        <v/>
      </c>
      <c r="H67" s="10">
        <f>SUMPRODUCT(('FASE DE GRUPOS'!$C$66:$C$71=$B$67)*'FASE DE GRUPOS'!$E$66:$E$71)+SUMPRODUCT(('FASE DE GRUPOS'!$F$66:$F$71=$B$67)*'FASE DE GRUPOS'!$D$66:$D$71)</f>
        <v/>
      </c>
      <c r="I67" s="10">
        <f>$G$67-$H$67</f>
        <v/>
      </c>
      <c r="J67" s="19">
        <f>3*$D$67+$E$67</f>
        <v/>
      </c>
    </row>
    <row r="68">
      <c r="A68" s="17">
        <f>1+SUMPRODUCT(($J$67:$J$70&gt;$J$68)*1)+SUMPRODUCT(($J$67:$J$70=$J$68)*($I$67:$I$70&gt;$I$68)*1)+SUMPRODUCT(($J$67:$J$70=$J$68)*($I$67:$I$70=$I$68)*($G$67:$G$70&gt;$G$68)*1)</f>
        <v/>
      </c>
      <c r="B68" s="18" t="inlineStr">
        <is>
          <t>Argelia</t>
        </is>
      </c>
      <c r="C68" s="10">
        <f>SUMPRODUCT(('FASE DE GRUPOS'!$C$66:$C$71=$B$68)*('FASE DE GRUPOS'!$D$66:$D$71&lt;&gt;""))+SUMPRODUCT(('FASE DE GRUPOS'!$F$66:$F$71=$B$68)*('FASE DE GRUPOS'!$E$66:$E$71&lt;&gt;""))</f>
        <v/>
      </c>
      <c r="D68" s="10">
        <f>SUMPRODUCT(('FASE DE GRUPOS'!$C$66:$C$71=$B$68)*('FASE DE GRUPOS'!$D$66:$D$71&gt;'FASE DE GRUPOS'!$E$66:$E$71)*('FASE DE GRUPOS'!$D$66:$D$71&lt;&gt;""))+SUMPRODUCT(('FASE DE GRUPOS'!$F$66:$F$71=$B$68)*('FASE DE GRUPOS'!$E$66:$E$71&gt;'FASE DE GRUPOS'!$D$66:$D$71)*('FASE DE GRUPOS'!$E$66:$E$71&lt;&gt;""))</f>
        <v/>
      </c>
      <c r="E68" s="10">
        <f>SUMPRODUCT(('FASE DE GRUPOS'!$C$66:$C$71=$B$68)*('FASE DE GRUPOS'!$D$66:$D$71='FASE DE GRUPOS'!$E$66:$E$71)*('FASE DE GRUPOS'!$D$66:$D$71&lt;&gt;""))+SUMPRODUCT(('FASE DE GRUPOS'!$F$66:$F$71=$B$68)*('FASE DE GRUPOS'!$E$66:$E$71='FASE DE GRUPOS'!$D$66:$D$71)*('FASE DE GRUPOS'!$E$66:$E$71&lt;&gt;""))</f>
        <v/>
      </c>
      <c r="F68" s="10">
        <f>$C$68-$D$68-$E$68</f>
        <v/>
      </c>
      <c r="G68" s="10">
        <f>SUMPRODUCT(('FASE DE GRUPOS'!$C$66:$C$71=$B$68)*'FASE DE GRUPOS'!$D$66:$D$71)+SUMPRODUCT(('FASE DE GRUPOS'!$F$66:$F$71=$B$68)*'FASE DE GRUPOS'!$E$66:$E$71)</f>
        <v/>
      </c>
      <c r="H68" s="10">
        <f>SUMPRODUCT(('FASE DE GRUPOS'!$C$66:$C$71=$B$68)*'FASE DE GRUPOS'!$E$66:$E$71)+SUMPRODUCT(('FASE DE GRUPOS'!$F$66:$F$71=$B$68)*'FASE DE GRUPOS'!$D$66:$D$71)</f>
        <v/>
      </c>
      <c r="I68" s="10">
        <f>$G$68-$H$68</f>
        <v/>
      </c>
      <c r="J68" s="19">
        <f>3*$D$68+$E$68</f>
        <v/>
      </c>
    </row>
    <row r="69">
      <c r="A69" s="17">
        <f>1+SUMPRODUCT(($J$67:$J$70&gt;$J$69)*1)+SUMPRODUCT(($J$67:$J$70=$J$69)*($I$67:$I$70&gt;$I$69)*1)+SUMPRODUCT(($J$67:$J$70=$J$69)*($I$67:$I$70=$I$69)*($G$67:$G$70&gt;$G$69)*1)</f>
        <v/>
      </c>
      <c r="B69" s="18" t="inlineStr">
        <is>
          <t>Austria</t>
        </is>
      </c>
      <c r="C69" s="10">
        <f>SUMPRODUCT(('FASE DE GRUPOS'!$C$66:$C$71=$B$69)*('FASE DE GRUPOS'!$D$66:$D$71&lt;&gt;""))+SUMPRODUCT(('FASE DE GRUPOS'!$F$66:$F$71=$B$69)*('FASE DE GRUPOS'!$E$66:$E$71&lt;&gt;""))</f>
        <v/>
      </c>
      <c r="D69" s="10">
        <f>SUMPRODUCT(('FASE DE GRUPOS'!$C$66:$C$71=$B$69)*('FASE DE GRUPOS'!$D$66:$D$71&gt;'FASE DE GRUPOS'!$E$66:$E$71)*('FASE DE GRUPOS'!$D$66:$D$71&lt;&gt;""))+SUMPRODUCT(('FASE DE GRUPOS'!$F$66:$F$71=$B$69)*('FASE DE GRUPOS'!$E$66:$E$71&gt;'FASE DE GRUPOS'!$D$66:$D$71)*('FASE DE GRUPOS'!$E$66:$E$71&lt;&gt;""))</f>
        <v/>
      </c>
      <c r="E69" s="10">
        <f>SUMPRODUCT(('FASE DE GRUPOS'!$C$66:$C$71=$B$69)*('FASE DE GRUPOS'!$D$66:$D$71='FASE DE GRUPOS'!$E$66:$E$71)*('FASE DE GRUPOS'!$D$66:$D$71&lt;&gt;""))+SUMPRODUCT(('FASE DE GRUPOS'!$F$66:$F$71=$B$69)*('FASE DE GRUPOS'!$E$66:$E$71='FASE DE GRUPOS'!$D$66:$D$71)*('FASE DE GRUPOS'!$E$66:$E$71&lt;&gt;""))</f>
        <v/>
      </c>
      <c r="F69" s="10">
        <f>$C$69-$D$69-$E$69</f>
        <v/>
      </c>
      <c r="G69" s="10">
        <f>SUMPRODUCT(('FASE DE GRUPOS'!$C$66:$C$71=$B$69)*'FASE DE GRUPOS'!$D$66:$D$71)+SUMPRODUCT(('FASE DE GRUPOS'!$F$66:$F$71=$B$69)*'FASE DE GRUPOS'!$E$66:$E$71)</f>
        <v/>
      </c>
      <c r="H69" s="10">
        <f>SUMPRODUCT(('FASE DE GRUPOS'!$C$66:$C$71=$B$69)*'FASE DE GRUPOS'!$E$66:$E$71)+SUMPRODUCT(('FASE DE GRUPOS'!$F$66:$F$71=$B$69)*'FASE DE GRUPOS'!$D$66:$D$71)</f>
        <v/>
      </c>
      <c r="I69" s="10">
        <f>$G$69-$H$69</f>
        <v/>
      </c>
      <c r="J69" s="19">
        <f>3*$D$69+$E$69</f>
        <v/>
      </c>
    </row>
    <row r="70">
      <c r="A70" s="17">
        <f>1+SUMPRODUCT(($J$67:$J$70&gt;$J$70)*1)+SUMPRODUCT(($J$67:$J$70=$J$70)*($I$67:$I$70&gt;$I$70)*1)+SUMPRODUCT(($J$67:$J$70=$J$70)*($I$67:$I$70=$I$70)*($G$67:$G$70&gt;$G$70)*1)</f>
        <v/>
      </c>
      <c r="B70" s="18" t="inlineStr">
        <is>
          <t>Jordania</t>
        </is>
      </c>
      <c r="C70" s="10">
        <f>SUMPRODUCT(('FASE DE GRUPOS'!$C$66:$C$71=$B$70)*('FASE DE GRUPOS'!$D$66:$D$71&lt;&gt;""))+SUMPRODUCT(('FASE DE GRUPOS'!$F$66:$F$71=$B$70)*('FASE DE GRUPOS'!$E$66:$E$71&lt;&gt;""))</f>
        <v/>
      </c>
      <c r="D70" s="10">
        <f>SUMPRODUCT(('FASE DE GRUPOS'!$C$66:$C$71=$B$70)*('FASE DE GRUPOS'!$D$66:$D$71&gt;'FASE DE GRUPOS'!$E$66:$E$71)*('FASE DE GRUPOS'!$D$66:$D$71&lt;&gt;""))+SUMPRODUCT(('FASE DE GRUPOS'!$F$66:$F$71=$B$70)*('FASE DE GRUPOS'!$E$66:$E$71&gt;'FASE DE GRUPOS'!$D$66:$D$71)*('FASE DE GRUPOS'!$E$66:$E$71&lt;&gt;""))</f>
        <v/>
      </c>
      <c r="E70" s="10">
        <f>SUMPRODUCT(('FASE DE GRUPOS'!$C$66:$C$71=$B$70)*('FASE DE GRUPOS'!$D$66:$D$71='FASE DE GRUPOS'!$E$66:$E$71)*('FASE DE GRUPOS'!$D$66:$D$71&lt;&gt;""))+SUMPRODUCT(('FASE DE GRUPOS'!$F$66:$F$71=$B$70)*('FASE DE GRUPOS'!$E$66:$E$71='FASE DE GRUPOS'!$D$66:$D$71)*('FASE DE GRUPOS'!$E$66:$E$71&lt;&gt;""))</f>
        <v/>
      </c>
      <c r="F70" s="10">
        <f>$C$70-$D$70-$E$70</f>
        <v/>
      </c>
      <c r="G70" s="10">
        <f>SUMPRODUCT(('FASE DE GRUPOS'!$C$66:$C$71=$B$70)*'FASE DE GRUPOS'!$D$66:$D$71)+SUMPRODUCT(('FASE DE GRUPOS'!$F$66:$F$71=$B$70)*'FASE DE GRUPOS'!$E$66:$E$71)</f>
        <v/>
      </c>
      <c r="H70" s="10">
        <f>SUMPRODUCT(('FASE DE GRUPOS'!$C$66:$C$71=$B$70)*'FASE DE GRUPOS'!$E$66:$E$71)+SUMPRODUCT(('FASE DE GRUPOS'!$F$66:$F$71=$B$70)*'FASE DE GRUPOS'!$D$66:$D$71)</f>
        <v/>
      </c>
      <c r="I70" s="10">
        <f>$G$70-$H$70</f>
        <v/>
      </c>
      <c r="J70" s="19">
        <f>3*$D$70+$E$70</f>
        <v/>
      </c>
    </row>
    <row r="72">
      <c r="A72" s="15" t="inlineStr">
        <is>
          <t>GRUPO K</t>
        </is>
      </c>
      <c r="B72" s="16" t="n"/>
      <c r="C72" s="16" t="n"/>
      <c r="D72" s="16" t="n"/>
      <c r="E72" s="16" t="n"/>
      <c r="F72" s="16" t="n"/>
      <c r="G72" s="16" t="n"/>
      <c r="H72" s="16" t="n"/>
      <c r="I72" s="16" t="n"/>
      <c r="J72" s="16" t="n"/>
    </row>
    <row r="73">
      <c r="A73" s="9" t="inlineStr">
        <is>
          <t>POS</t>
        </is>
      </c>
      <c r="B73" s="9" t="inlineStr">
        <is>
          <t>EQUIPO</t>
        </is>
      </c>
      <c r="C73" s="9" t="inlineStr">
        <is>
          <t>PJ</t>
        </is>
      </c>
      <c r="D73" s="9" t="inlineStr">
        <is>
          <t>G</t>
        </is>
      </c>
      <c r="E73" s="9" t="inlineStr">
        <is>
          <t>E</t>
        </is>
      </c>
      <c r="F73" s="9" t="inlineStr">
        <is>
          <t>P</t>
        </is>
      </c>
      <c r="G73" s="9" t="inlineStr">
        <is>
          <t>GF</t>
        </is>
      </c>
      <c r="H73" s="9" t="inlineStr">
        <is>
          <t>GC</t>
        </is>
      </c>
      <c r="I73" s="9" t="inlineStr">
        <is>
          <t>DIF</t>
        </is>
      </c>
      <c r="J73" s="9" t="inlineStr">
        <is>
          <t>PTS</t>
        </is>
      </c>
    </row>
    <row r="74">
      <c r="A74" s="17">
        <f>1+SUMPRODUCT(($J$74:$J$77&gt;$J$74)*1)+SUMPRODUCT(($J$74:$J$77=$J$74)*($I$74:$I$77&gt;$I$74)*1)+SUMPRODUCT(($J$74:$J$77=$J$74)*($I$74:$I$77=$I$74)*($G$74:$G$77&gt;$G$74)*1)</f>
        <v/>
      </c>
      <c r="B74" s="18" t="inlineStr">
        <is>
          <t>Portugal</t>
        </is>
      </c>
      <c r="C74" s="10">
        <f>SUMPRODUCT(('FASE DE GRUPOS'!$C$73:$C$78=$B$74)*('FASE DE GRUPOS'!$D$73:$D$78&lt;&gt;""))+SUMPRODUCT(('FASE DE GRUPOS'!$F$73:$F$78=$B$74)*('FASE DE GRUPOS'!$E$73:$E$78&lt;&gt;""))</f>
        <v/>
      </c>
      <c r="D74" s="10">
        <f>SUMPRODUCT(('FASE DE GRUPOS'!$C$73:$C$78=$B$74)*('FASE DE GRUPOS'!$D$73:$D$78&gt;'FASE DE GRUPOS'!$E$73:$E$78)*('FASE DE GRUPOS'!$D$73:$D$78&lt;&gt;""))+SUMPRODUCT(('FASE DE GRUPOS'!$F$73:$F$78=$B$74)*('FASE DE GRUPOS'!$E$73:$E$78&gt;'FASE DE GRUPOS'!$D$73:$D$78)*('FASE DE GRUPOS'!$E$73:$E$78&lt;&gt;""))</f>
        <v/>
      </c>
      <c r="E74" s="10">
        <f>SUMPRODUCT(('FASE DE GRUPOS'!$C$73:$C$78=$B$74)*('FASE DE GRUPOS'!$D$73:$D$78='FASE DE GRUPOS'!$E$73:$E$78)*('FASE DE GRUPOS'!$D$73:$D$78&lt;&gt;""))+SUMPRODUCT(('FASE DE GRUPOS'!$F$73:$F$78=$B$74)*('FASE DE GRUPOS'!$E$73:$E$78='FASE DE GRUPOS'!$D$73:$D$78)*('FASE DE GRUPOS'!$E$73:$E$78&lt;&gt;""))</f>
        <v/>
      </c>
      <c r="F74" s="10">
        <f>$C$74-$D$74-$E$74</f>
        <v/>
      </c>
      <c r="G74" s="10">
        <f>SUMPRODUCT(('FASE DE GRUPOS'!$C$73:$C$78=$B$74)*'FASE DE GRUPOS'!$D$73:$D$78)+SUMPRODUCT(('FASE DE GRUPOS'!$F$73:$F$78=$B$74)*'FASE DE GRUPOS'!$E$73:$E$78)</f>
        <v/>
      </c>
      <c r="H74" s="10">
        <f>SUMPRODUCT(('FASE DE GRUPOS'!$C$73:$C$78=$B$74)*'FASE DE GRUPOS'!$E$73:$E$78)+SUMPRODUCT(('FASE DE GRUPOS'!$F$73:$F$78=$B$74)*'FASE DE GRUPOS'!$D$73:$D$78)</f>
        <v/>
      </c>
      <c r="I74" s="10">
        <f>$G$74-$H$74</f>
        <v/>
      </c>
      <c r="J74" s="19">
        <f>3*$D$74+$E$74</f>
        <v/>
      </c>
    </row>
    <row r="75">
      <c r="A75" s="17">
        <f>1+SUMPRODUCT(($J$74:$J$77&gt;$J$75)*1)+SUMPRODUCT(($J$74:$J$77=$J$75)*($I$74:$I$77&gt;$I$75)*1)+SUMPRODUCT(($J$74:$J$77=$J$75)*($I$74:$I$77=$I$75)*($G$74:$G$77&gt;$G$75)*1)</f>
        <v/>
      </c>
      <c r="B75" s="18" t="inlineStr">
        <is>
          <t>RD Congo</t>
        </is>
      </c>
      <c r="C75" s="10">
        <f>SUMPRODUCT(('FASE DE GRUPOS'!$C$73:$C$78=$B$75)*('FASE DE GRUPOS'!$D$73:$D$78&lt;&gt;""))+SUMPRODUCT(('FASE DE GRUPOS'!$F$73:$F$78=$B$75)*('FASE DE GRUPOS'!$E$73:$E$78&lt;&gt;""))</f>
        <v/>
      </c>
      <c r="D75" s="10">
        <f>SUMPRODUCT(('FASE DE GRUPOS'!$C$73:$C$78=$B$75)*('FASE DE GRUPOS'!$D$73:$D$78&gt;'FASE DE GRUPOS'!$E$73:$E$78)*('FASE DE GRUPOS'!$D$73:$D$78&lt;&gt;""))+SUMPRODUCT(('FASE DE GRUPOS'!$F$73:$F$78=$B$75)*('FASE DE GRUPOS'!$E$73:$E$78&gt;'FASE DE GRUPOS'!$D$73:$D$78)*('FASE DE GRUPOS'!$E$73:$E$78&lt;&gt;""))</f>
        <v/>
      </c>
      <c r="E75" s="10">
        <f>SUMPRODUCT(('FASE DE GRUPOS'!$C$73:$C$78=$B$75)*('FASE DE GRUPOS'!$D$73:$D$78='FASE DE GRUPOS'!$E$73:$E$78)*('FASE DE GRUPOS'!$D$73:$D$78&lt;&gt;""))+SUMPRODUCT(('FASE DE GRUPOS'!$F$73:$F$78=$B$75)*('FASE DE GRUPOS'!$E$73:$E$78='FASE DE GRUPOS'!$D$73:$D$78)*('FASE DE GRUPOS'!$E$73:$E$78&lt;&gt;""))</f>
        <v/>
      </c>
      <c r="F75" s="10">
        <f>$C$75-$D$75-$E$75</f>
        <v/>
      </c>
      <c r="G75" s="10">
        <f>SUMPRODUCT(('FASE DE GRUPOS'!$C$73:$C$78=$B$75)*'FASE DE GRUPOS'!$D$73:$D$78)+SUMPRODUCT(('FASE DE GRUPOS'!$F$73:$F$78=$B$75)*'FASE DE GRUPOS'!$E$73:$E$78)</f>
        <v/>
      </c>
      <c r="H75" s="10">
        <f>SUMPRODUCT(('FASE DE GRUPOS'!$C$73:$C$78=$B$75)*'FASE DE GRUPOS'!$E$73:$E$78)+SUMPRODUCT(('FASE DE GRUPOS'!$F$73:$F$78=$B$75)*'FASE DE GRUPOS'!$D$73:$D$78)</f>
        <v/>
      </c>
      <c r="I75" s="10">
        <f>$G$75-$H$75</f>
        <v/>
      </c>
      <c r="J75" s="19">
        <f>3*$D$75+$E$75</f>
        <v/>
      </c>
    </row>
    <row r="76">
      <c r="A76" s="17">
        <f>1+SUMPRODUCT(($J$74:$J$77&gt;$J$76)*1)+SUMPRODUCT(($J$74:$J$77=$J$76)*($I$74:$I$77&gt;$I$76)*1)+SUMPRODUCT(($J$74:$J$77=$J$76)*($I$74:$I$77=$I$76)*($G$74:$G$77&gt;$G$76)*1)</f>
        <v/>
      </c>
      <c r="B76" s="18" t="inlineStr">
        <is>
          <t>Uzbekistán</t>
        </is>
      </c>
      <c r="C76" s="10">
        <f>SUMPRODUCT(('FASE DE GRUPOS'!$C$73:$C$78=$B$76)*('FASE DE GRUPOS'!$D$73:$D$78&lt;&gt;""))+SUMPRODUCT(('FASE DE GRUPOS'!$F$73:$F$78=$B$76)*('FASE DE GRUPOS'!$E$73:$E$78&lt;&gt;""))</f>
        <v/>
      </c>
      <c r="D76" s="10">
        <f>SUMPRODUCT(('FASE DE GRUPOS'!$C$73:$C$78=$B$76)*('FASE DE GRUPOS'!$D$73:$D$78&gt;'FASE DE GRUPOS'!$E$73:$E$78)*('FASE DE GRUPOS'!$D$73:$D$78&lt;&gt;""))+SUMPRODUCT(('FASE DE GRUPOS'!$F$73:$F$78=$B$76)*('FASE DE GRUPOS'!$E$73:$E$78&gt;'FASE DE GRUPOS'!$D$73:$D$78)*('FASE DE GRUPOS'!$E$73:$E$78&lt;&gt;""))</f>
        <v/>
      </c>
      <c r="E76" s="10">
        <f>SUMPRODUCT(('FASE DE GRUPOS'!$C$73:$C$78=$B$76)*('FASE DE GRUPOS'!$D$73:$D$78='FASE DE GRUPOS'!$E$73:$E$78)*('FASE DE GRUPOS'!$D$73:$D$78&lt;&gt;""))+SUMPRODUCT(('FASE DE GRUPOS'!$F$73:$F$78=$B$76)*('FASE DE GRUPOS'!$E$73:$E$78='FASE DE GRUPOS'!$D$73:$D$78)*('FASE DE GRUPOS'!$E$73:$E$78&lt;&gt;""))</f>
        <v/>
      </c>
      <c r="F76" s="10">
        <f>$C$76-$D$76-$E$76</f>
        <v/>
      </c>
      <c r="G76" s="10">
        <f>SUMPRODUCT(('FASE DE GRUPOS'!$C$73:$C$78=$B$76)*'FASE DE GRUPOS'!$D$73:$D$78)+SUMPRODUCT(('FASE DE GRUPOS'!$F$73:$F$78=$B$76)*'FASE DE GRUPOS'!$E$73:$E$78)</f>
        <v/>
      </c>
      <c r="H76" s="10">
        <f>SUMPRODUCT(('FASE DE GRUPOS'!$C$73:$C$78=$B$76)*'FASE DE GRUPOS'!$E$73:$E$78)+SUMPRODUCT(('FASE DE GRUPOS'!$F$73:$F$78=$B$76)*'FASE DE GRUPOS'!$D$73:$D$78)</f>
        <v/>
      </c>
      <c r="I76" s="10">
        <f>$G$76-$H$76</f>
        <v/>
      </c>
      <c r="J76" s="19">
        <f>3*$D$76+$E$76</f>
        <v/>
      </c>
    </row>
    <row r="77">
      <c r="A77" s="17">
        <f>1+SUMPRODUCT(($J$74:$J$77&gt;$J$77)*1)+SUMPRODUCT(($J$74:$J$77=$J$77)*($I$74:$I$77&gt;$I$77)*1)+SUMPRODUCT(($J$74:$J$77=$J$77)*($I$74:$I$77=$I$77)*($G$74:$G$77&gt;$G$77)*1)</f>
        <v/>
      </c>
      <c r="B77" s="18" t="inlineStr">
        <is>
          <t>Colombia</t>
        </is>
      </c>
      <c r="C77" s="10">
        <f>SUMPRODUCT(('FASE DE GRUPOS'!$C$73:$C$78=$B$77)*('FASE DE GRUPOS'!$D$73:$D$78&lt;&gt;""))+SUMPRODUCT(('FASE DE GRUPOS'!$F$73:$F$78=$B$77)*('FASE DE GRUPOS'!$E$73:$E$78&lt;&gt;""))</f>
        <v/>
      </c>
      <c r="D77" s="10">
        <f>SUMPRODUCT(('FASE DE GRUPOS'!$C$73:$C$78=$B$77)*('FASE DE GRUPOS'!$D$73:$D$78&gt;'FASE DE GRUPOS'!$E$73:$E$78)*('FASE DE GRUPOS'!$D$73:$D$78&lt;&gt;""))+SUMPRODUCT(('FASE DE GRUPOS'!$F$73:$F$78=$B$77)*('FASE DE GRUPOS'!$E$73:$E$78&gt;'FASE DE GRUPOS'!$D$73:$D$78)*('FASE DE GRUPOS'!$E$73:$E$78&lt;&gt;""))</f>
        <v/>
      </c>
      <c r="E77" s="10">
        <f>SUMPRODUCT(('FASE DE GRUPOS'!$C$73:$C$78=$B$77)*('FASE DE GRUPOS'!$D$73:$D$78='FASE DE GRUPOS'!$E$73:$E$78)*('FASE DE GRUPOS'!$D$73:$D$78&lt;&gt;""))+SUMPRODUCT(('FASE DE GRUPOS'!$F$73:$F$78=$B$77)*('FASE DE GRUPOS'!$E$73:$E$78='FASE DE GRUPOS'!$D$73:$D$78)*('FASE DE GRUPOS'!$E$73:$E$78&lt;&gt;""))</f>
        <v/>
      </c>
      <c r="F77" s="10">
        <f>$C$77-$D$77-$E$77</f>
        <v/>
      </c>
      <c r="G77" s="10">
        <f>SUMPRODUCT(('FASE DE GRUPOS'!$C$73:$C$78=$B$77)*'FASE DE GRUPOS'!$D$73:$D$78)+SUMPRODUCT(('FASE DE GRUPOS'!$F$73:$F$78=$B$77)*'FASE DE GRUPOS'!$E$73:$E$78)</f>
        <v/>
      </c>
      <c r="H77" s="10">
        <f>SUMPRODUCT(('FASE DE GRUPOS'!$C$73:$C$78=$B$77)*'FASE DE GRUPOS'!$E$73:$E$78)+SUMPRODUCT(('FASE DE GRUPOS'!$F$73:$F$78=$B$77)*'FASE DE GRUPOS'!$D$73:$D$78)</f>
        <v/>
      </c>
      <c r="I77" s="10">
        <f>$G$77-$H$77</f>
        <v/>
      </c>
      <c r="J77" s="19">
        <f>3*$D$77+$E$77</f>
        <v/>
      </c>
    </row>
    <row r="79">
      <c r="A79" s="15" t="inlineStr">
        <is>
          <t>GRUPO L</t>
        </is>
      </c>
      <c r="B79" s="16" t="n"/>
      <c r="C79" s="16" t="n"/>
      <c r="D79" s="16" t="n"/>
      <c r="E79" s="16" t="n"/>
      <c r="F79" s="16" t="n"/>
      <c r="G79" s="16" t="n"/>
      <c r="H79" s="16" t="n"/>
      <c r="I79" s="16" t="n"/>
      <c r="J79" s="16" t="n"/>
    </row>
    <row r="80">
      <c r="A80" s="9" t="inlineStr">
        <is>
          <t>POS</t>
        </is>
      </c>
      <c r="B80" s="9" t="inlineStr">
        <is>
          <t>EQUIPO</t>
        </is>
      </c>
      <c r="C80" s="9" t="inlineStr">
        <is>
          <t>PJ</t>
        </is>
      </c>
      <c r="D80" s="9" t="inlineStr">
        <is>
          <t>G</t>
        </is>
      </c>
      <c r="E80" s="9" t="inlineStr">
        <is>
          <t>E</t>
        </is>
      </c>
      <c r="F80" s="9" t="inlineStr">
        <is>
          <t>P</t>
        </is>
      </c>
      <c r="G80" s="9" t="inlineStr">
        <is>
          <t>GF</t>
        </is>
      </c>
      <c r="H80" s="9" t="inlineStr">
        <is>
          <t>GC</t>
        </is>
      </c>
      <c r="I80" s="9" t="inlineStr">
        <is>
          <t>DIF</t>
        </is>
      </c>
      <c r="J80" s="9" t="inlineStr">
        <is>
          <t>PTS</t>
        </is>
      </c>
    </row>
    <row r="81">
      <c r="A81" s="17">
        <f>1+SUMPRODUCT(($J$81:$J$84&gt;$J$81)*1)+SUMPRODUCT(($J$81:$J$84=$J$81)*($I$81:$I$84&gt;$I$81)*1)+SUMPRODUCT(($J$81:$J$84=$J$81)*($I$81:$I$84=$I$81)*($G$81:$G$84&gt;$G$81)*1)</f>
        <v/>
      </c>
      <c r="B81" s="18" t="inlineStr">
        <is>
          <t>Inglaterra</t>
        </is>
      </c>
      <c r="C81" s="10">
        <f>SUMPRODUCT(('FASE DE GRUPOS'!$C$80:$C$85=$B$81)*('FASE DE GRUPOS'!$D$80:$D$85&lt;&gt;""))+SUMPRODUCT(('FASE DE GRUPOS'!$F$80:$F$85=$B$81)*('FASE DE GRUPOS'!$E$80:$E$85&lt;&gt;""))</f>
        <v/>
      </c>
      <c r="D81" s="10">
        <f>SUMPRODUCT(('FASE DE GRUPOS'!$C$80:$C$85=$B$81)*('FASE DE GRUPOS'!$D$80:$D$85&gt;'FASE DE GRUPOS'!$E$80:$E$85)*('FASE DE GRUPOS'!$D$80:$D$85&lt;&gt;""))+SUMPRODUCT(('FASE DE GRUPOS'!$F$80:$F$85=$B$81)*('FASE DE GRUPOS'!$E$80:$E$85&gt;'FASE DE GRUPOS'!$D$80:$D$85)*('FASE DE GRUPOS'!$E$80:$E$85&lt;&gt;""))</f>
        <v/>
      </c>
      <c r="E81" s="10">
        <f>SUMPRODUCT(('FASE DE GRUPOS'!$C$80:$C$85=$B$81)*('FASE DE GRUPOS'!$D$80:$D$85='FASE DE GRUPOS'!$E$80:$E$85)*('FASE DE GRUPOS'!$D$80:$D$85&lt;&gt;""))+SUMPRODUCT(('FASE DE GRUPOS'!$F$80:$F$85=$B$81)*('FASE DE GRUPOS'!$E$80:$E$85='FASE DE GRUPOS'!$D$80:$D$85)*('FASE DE GRUPOS'!$E$80:$E$85&lt;&gt;""))</f>
        <v/>
      </c>
      <c r="F81" s="10">
        <f>$C$81-$D$81-$E$81</f>
        <v/>
      </c>
      <c r="G81" s="10">
        <f>SUMPRODUCT(('FASE DE GRUPOS'!$C$80:$C$85=$B$81)*'FASE DE GRUPOS'!$D$80:$D$85)+SUMPRODUCT(('FASE DE GRUPOS'!$F$80:$F$85=$B$81)*'FASE DE GRUPOS'!$E$80:$E$85)</f>
        <v/>
      </c>
      <c r="H81" s="10">
        <f>SUMPRODUCT(('FASE DE GRUPOS'!$C$80:$C$85=$B$81)*'FASE DE GRUPOS'!$E$80:$E$85)+SUMPRODUCT(('FASE DE GRUPOS'!$F$80:$F$85=$B$81)*'FASE DE GRUPOS'!$D$80:$D$85)</f>
        <v/>
      </c>
      <c r="I81" s="10">
        <f>$G$81-$H$81</f>
        <v/>
      </c>
      <c r="J81" s="19">
        <f>3*$D$81+$E$81</f>
        <v/>
      </c>
    </row>
    <row r="82">
      <c r="A82" s="17">
        <f>1+SUMPRODUCT(($J$81:$J$84&gt;$J$82)*1)+SUMPRODUCT(($J$81:$J$84=$J$82)*($I$81:$I$84&gt;$I$82)*1)+SUMPRODUCT(($J$81:$J$84=$J$82)*($I$81:$I$84=$I$82)*($G$81:$G$84&gt;$G$82)*1)</f>
        <v/>
      </c>
      <c r="B82" s="18" t="inlineStr">
        <is>
          <t>Croacia</t>
        </is>
      </c>
      <c r="C82" s="10">
        <f>SUMPRODUCT(('FASE DE GRUPOS'!$C$80:$C$85=$B$82)*('FASE DE GRUPOS'!$D$80:$D$85&lt;&gt;""))+SUMPRODUCT(('FASE DE GRUPOS'!$F$80:$F$85=$B$82)*('FASE DE GRUPOS'!$E$80:$E$85&lt;&gt;""))</f>
        <v/>
      </c>
      <c r="D82" s="10">
        <f>SUMPRODUCT(('FASE DE GRUPOS'!$C$80:$C$85=$B$82)*('FASE DE GRUPOS'!$D$80:$D$85&gt;'FASE DE GRUPOS'!$E$80:$E$85)*('FASE DE GRUPOS'!$D$80:$D$85&lt;&gt;""))+SUMPRODUCT(('FASE DE GRUPOS'!$F$80:$F$85=$B$82)*('FASE DE GRUPOS'!$E$80:$E$85&gt;'FASE DE GRUPOS'!$D$80:$D$85)*('FASE DE GRUPOS'!$E$80:$E$85&lt;&gt;""))</f>
        <v/>
      </c>
      <c r="E82" s="10">
        <f>SUMPRODUCT(('FASE DE GRUPOS'!$C$80:$C$85=$B$82)*('FASE DE GRUPOS'!$D$80:$D$85='FASE DE GRUPOS'!$E$80:$E$85)*('FASE DE GRUPOS'!$D$80:$D$85&lt;&gt;""))+SUMPRODUCT(('FASE DE GRUPOS'!$F$80:$F$85=$B$82)*('FASE DE GRUPOS'!$E$80:$E$85='FASE DE GRUPOS'!$D$80:$D$85)*('FASE DE GRUPOS'!$E$80:$E$85&lt;&gt;""))</f>
        <v/>
      </c>
      <c r="F82" s="10">
        <f>$C$82-$D$82-$E$82</f>
        <v/>
      </c>
      <c r="G82" s="10">
        <f>SUMPRODUCT(('FASE DE GRUPOS'!$C$80:$C$85=$B$82)*'FASE DE GRUPOS'!$D$80:$D$85)+SUMPRODUCT(('FASE DE GRUPOS'!$F$80:$F$85=$B$82)*'FASE DE GRUPOS'!$E$80:$E$85)</f>
        <v/>
      </c>
      <c r="H82" s="10">
        <f>SUMPRODUCT(('FASE DE GRUPOS'!$C$80:$C$85=$B$82)*'FASE DE GRUPOS'!$E$80:$E$85)+SUMPRODUCT(('FASE DE GRUPOS'!$F$80:$F$85=$B$82)*'FASE DE GRUPOS'!$D$80:$D$85)</f>
        <v/>
      </c>
      <c r="I82" s="10">
        <f>$G$82-$H$82</f>
        <v/>
      </c>
      <c r="J82" s="19">
        <f>3*$D$82+$E$82</f>
        <v/>
      </c>
    </row>
    <row r="83">
      <c r="A83" s="17">
        <f>1+SUMPRODUCT(($J$81:$J$84&gt;$J$83)*1)+SUMPRODUCT(($J$81:$J$84=$J$83)*($I$81:$I$84&gt;$I$83)*1)+SUMPRODUCT(($J$81:$J$84=$J$83)*($I$81:$I$84=$I$83)*($G$81:$G$84&gt;$G$83)*1)</f>
        <v/>
      </c>
      <c r="B83" s="18" t="inlineStr">
        <is>
          <t>Ghana</t>
        </is>
      </c>
      <c r="C83" s="10">
        <f>SUMPRODUCT(('FASE DE GRUPOS'!$C$80:$C$85=$B$83)*('FASE DE GRUPOS'!$D$80:$D$85&lt;&gt;""))+SUMPRODUCT(('FASE DE GRUPOS'!$F$80:$F$85=$B$83)*('FASE DE GRUPOS'!$E$80:$E$85&lt;&gt;""))</f>
        <v/>
      </c>
      <c r="D83" s="10">
        <f>SUMPRODUCT(('FASE DE GRUPOS'!$C$80:$C$85=$B$83)*('FASE DE GRUPOS'!$D$80:$D$85&gt;'FASE DE GRUPOS'!$E$80:$E$85)*('FASE DE GRUPOS'!$D$80:$D$85&lt;&gt;""))+SUMPRODUCT(('FASE DE GRUPOS'!$F$80:$F$85=$B$83)*('FASE DE GRUPOS'!$E$80:$E$85&gt;'FASE DE GRUPOS'!$D$80:$D$85)*('FASE DE GRUPOS'!$E$80:$E$85&lt;&gt;""))</f>
        <v/>
      </c>
      <c r="E83" s="10">
        <f>SUMPRODUCT(('FASE DE GRUPOS'!$C$80:$C$85=$B$83)*('FASE DE GRUPOS'!$D$80:$D$85='FASE DE GRUPOS'!$E$80:$E$85)*('FASE DE GRUPOS'!$D$80:$D$85&lt;&gt;""))+SUMPRODUCT(('FASE DE GRUPOS'!$F$80:$F$85=$B$83)*('FASE DE GRUPOS'!$E$80:$E$85='FASE DE GRUPOS'!$D$80:$D$85)*('FASE DE GRUPOS'!$E$80:$E$85&lt;&gt;""))</f>
        <v/>
      </c>
      <c r="F83" s="10">
        <f>$C$83-$D$83-$E$83</f>
        <v/>
      </c>
      <c r="G83" s="10">
        <f>SUMPRODUCT(('FASE DE GRUPOS'!$C$80:$C$85=$B$83)*'FASE DE GRUPOS'!$D$80:$D$85)+SUMPRODUCT(('FASE DE GRUPOS'!$F$80:$F$85=$B$83)*'FASE DE GRUPOS'!$E$80:$E$85)</f>
        <v/>
      </c>
      <c r="H83" s="10">
        <f>SUMPRODUCT(('FASE DE GRUPOS'!$C$80:$C$85=$B$83)*'FASE DE GRUPOS'!$E$80:$E$85)+SUMPRODUCT(('FASE DE GRUPOS'!$F$80:$F$85=$B$83)*'FASE DE GRUPOS'!$D$80:$D$85)</f>
        <v/>
      </c>
      <c r="I83" s="10">
        <f>$G$83-$H$83</f>
        <v/>
      </c>
      <c r="J83" s="19">
        <f>3*$D$83+$E$83</f>
        <v/>
      </c>
    </row>
    <row r="84">
      <c r="A84" s="17">
        <f>1+SUMPRODUCT(($J$81:$J$84&gt;$J$84)*1)+SUMPRODUCT(($J$81:$J$84=$J$84)*($I$81:$I$84&gt;$I$84)*1)+SUMPRODUCT(($J$81:$J$84=$J$84)*($I$81:$I$84=$I$84)*($G$81:$G$84&gt;$G$84)*1)</f>
        <v/>
      </c>
      <c r="B84" s="18" t="inlineStr">
        <is>
          <t>Panamá</t>
        </is>
      </c>
      <c r="C84" s="10">
        <f>SUMPRODUCT(('FASE DE GRUPOS'!$C$80:$C$85=$B$84)*('FASE DE GRUPOS'!$D$80:$D$85&lt;&gt;""))+SUMPRODUCT(('FASE DE GRUPOS'!$F$80:$F$85=$B$84)*('FASE DE GRUPOS'!$E$80:$E$85&lt;&gt;""))</f>
        <v/>
      </c>
      <c r="D84" s="10">
        <f>SUMPRODUCT(('FASE DE GRUPOS'!$C$80:$C$85=$B$84)*('FASE DE GRUPOS'!$D$80:$D$85&gt;'FASE DE GRUPOS'!$E$80:$E$85)*('FASE DE GRUPOS'!$D$80:$D$85&lt;&gt;""))+SUMPRODUCT(('FASE DE GRUPOS'!$F$80:$F$85=$B$84)*('FASE DE GRUPOS'!$E$80:$E$85&gt;'FASE DE GRUPOS'!$D$80:$D$85)*('FASE DE GRUPOS'!$E$80:$E$85&lt;&gt;""))</f>
        <v/>
      </c>
      <c r="E84" s="10">
        <f>SUMPRODUCT(('FASE DE GRUPOS'!$C$80:$C$85=$B$84)*('FASE DE GRUPOS'!$D$80:$D$85='FASE DE GRUPOS'!$E$80:$E$85)*('FASE DE GRUPOS'!$D$80:$D$85&lt;&gt;""))+SUMPRODUCT(('FASE DE GRUPOS'!$F$80:$F$85=$B$84)*('FASE DE GRUPOS'!$E$80:$E$85='FASE DE GRUPOS'!$D$80:$D$85)*('FASE DE GRUPOS'!$E$80:$E$85&lt;&gt;""))</f>
        <v/>
      </c>
      <c r="F84" s="10">
        <f>$C$84-$D$84-$E$84</f>
        <v/>
      </c>
      <c r="G84" s="10">
        <f>SUMPRODUCT(('FASE DE GRUPOS'!$C$80:$C$85=$B$84)*'FASE DE GRUPOS'!$D$80:$D$85)+SUMPRODUCT(('FASE DE GRUPOS'!$F$80:$F$85=$B$84)*'FASE DE GRUPOS'!$E$80:$E$85)</f>
        <v/>
      </c>
      <c r="H84" s="10">
        <f>SUMPRODUCT(('FASE DE GRUPOS'!$C$80:$C$85=$B$84)*'FASE DE GRUPOS'!$E$80:$E$85)+SUMPRODUCT(('FASE DE GRUPOS'!$F$80:$F$85=$B$84)*'FASE DE GRUPOS'!$D$80:$D$85)</f>
        <v/>
      </c>
      <c r="I84" s="10">
        <f>$G$84-$H$84</f>
        <v/>
      </c>
      <c r="J84" s="19">
        <f>3*$D$84+$E$84</f>
        <v/>
      </c>
    </row>
  </sheetData>
  <conditionalFormatting sqref="A2:A86">
    <cfRule type="cellIs" priority="1" operator="lessThanOrEqual" dxfId="0">
      <formula>2</formula>
    </cfRule>
  </conditionalFormatting>
  <pageMargins left="0.75" right="0.75" top="1" bottom="1" header="0.5" footer="0.5"/>
</worksheet>
</file>

<file path=xl/worksheets/sheet4.xml><?xml version="1.0" encoding="utf-8"?>
<worksheet xmlns="http://schemas.openxmlformats.org/spreadsheetml/2006/main">
  <sheetPr>
    <tabColor rgb="00E1382F"/>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22" customWidth="1" min="3" max="3"/>
    <col width="4" customWidth="1" min="4" max="4"/>
    <col width="22" customWidth="1" min="5" max="5"/>
    <col width="22" customWidth="1" min="6" max="6"/>
    <col width="26" customWidth="1" min="7" max="7"/>
  </cols>
  <sheetData>
    <row r="1">
      <c r="A1" s="9" t="inlineStr">
        <is>
          <t>P#</t>
        </is>
      </c>
      <c r="B1" s="9" t="inlineStr">
        <is>
          <t>FASE</t>
        </is>
      </c>
      <c r="C1" s="9" t="inlineStr">
        <is>
          <t>LOCAL</t>
        </is>
      </c>
      <c r="D1" s="9" t="inlineStr"/>
      <c r="E1" s="9" t="inlineStr">
        <is>
          <t>VISITANTE</t>
        </is>
      </c>
      <c r="F1" s="9" t="inlineStr">
        <is>
          <t>Fecha (Col)</t>
        </is>
      </c>
      <c r="G1" s="9" t="inlineStr">
        <is>
          <t>Estadio</t>
        </is>
      </c>
    </row>
    <row r="2">
      <c r="A2" s="10" t="n">
        <v>73</v>
      </c>
      <c r="B2" s="10" t="inlineStr">
        <is>
          <t>16avos</t>
        </is>
      </c>
      <c r="C2" s="11" t="inlineStr">
        <is>
          <t>2º Gpo A</t>
        </is>
      </c>
      <c r="D2" s="10" t="inlineStr">
        <is>
          <t>vs</t>
        </is>
      </c>
      <c r="E2" s="11" t="inlineStr">
        <is>
          <t>2º Gpo B</t>
        </is>
      </c>
      <c r="F2" s="11" t="inlineStr">
        <is>
          <t>dom 28 jun · 2:00 PM</t>
        </is>
      </c>
      <c r="G2" s="11" t="inlineStr">
        <is>
          <t>Los Angeles Stadium</t>
        </is>
      </c>
    </row>
    <row r="3">
      <c r="A3" s="10" t="n">
        <v>76</v>
      </c>
      <c r="B3" s="10" t="inlineStr">
        <is>
          <t>16avos</t>
        </is>
      </c>
      <c r="C3" s="11" t="inlineStr">
        <is>
          <t>1º Gpo C</t>
        </is>
      </c>
      <c r="D3" s="10" t="inlineStr">
        <is>
          <t>vs</t>
        </is>
      </c>
      <c r="E3" s="11" t="inlineStr">
        <is>
          <t>2º Gpo F</t>
        </is>
      </c>
      <c r="F3" s="11" t="inlineStr">
        <is>
          <t>lun 29 jun · 12:00 PM</t>
        </is>
      </c>
      <c r="G3" s="11" t="inlineStr">
        <is>
          <t>Houston Stadium</t>
        </is>
      </c>
    </row>
    <row r="4">
      <c r="A4" s="10" t="n">
        <v>74</v>
      </c>
      <c r="B4" s="10" t="inlineStr">
        <is>
          <t>16avos</t>
        </is>
      </c>
      <c r="C4" s="11" t="inlineStr">
        <is>
          <t>1º Gpo E</t>
        </is>
      </c>
      <c r="D4" s="10" t="inlineStr">
        <is>
          <t>vs</t>
        </is>
      </c>
      <c r="E4" s="11" t="inlineStr">
        <is>
          <t>3º de A/B/C/D/F</t>
        </is>
      </c>
      <c r="F4" s="11" t="inlineStr">
        <is>
          <t>lun 29 jun · 3:30 PM</t>
        </is>
      </c>
      <c r="G4" s="11" t="inlineStr">
        <is>
          <t>Boston Stadium</t>
        </is>
      </c>
    </row>
    <row r="5">
      <c r="A5" s="10" t="n">
        <v>75</v>
      </c>
      <c r="B5" s="10" t="inlineStr">
        <is>
          <t>16avos</t>
        </is>
      </c>
      <c r="C5" s="11" t="inlineStr">
        <is>
          <t>1º Gpo F</t>
        </is>
      </c>
      <c r="D5" s="10" t="inlineStr">
        <is>
          <t>vs</t>
        </is>
      </c>
      <c r="E5" s="11" t="inlineStr">
        <is>
          <t>2º Gpo C</t>
        </is>
      </c>
      <c r="F5" s="11" t="inlineStr">
        <is>
          <t>lun 29 jun · 8:00 PM</t>
        </is>
      </c>
      <c r="G5" s="11" t="inlineStr">
        <is>
          <t>Monterrey Stadium</t>
        </is>
      </c>
    </row>
    <row r="6">
      <c r="A6" s="10" t="n">
        <v>78</v>
      </c>
      <c r="B6" s="10" t="inlineStr">
        <is>
          <t>16avos</t>
        </is>
      </c>
      <c r="C6" s="11" t="inlineStr">
        <is>
          <t>2º Gpo E</t>
        </is>
      </c>
      <c r="D6" s="10" t="inlineStr">
        <is>
          <t>vs</t>
        </is>
      </c>
      <c r="E6" s="11" t="inlineStr">
        <is>
          <t>2º Gpo I</t>
        </is>
      </c>
      <c r="F6" s="11" t="inlineStr">
        <is>
          <t>mar 30 jun · 12:00 PM</t>
        </is>
      </c>
      <c r="G6" s="11" t="inlineStr">
        <is>
          <t>Dallas Stadium</t>
        </is>
      </c>
    </row>
    <row r="7">
      <c r="A7" s="10" t="n">
        <v>77</v>
      </c>
      <c r="B7" s="10" t="inlineStr">
        <is>
          <t>16avos</t>
        </is>
      </c>
      <c r="C7" s="11" t="inlineStr">
        <is>
          <t>1º Gpo I</t>
        </is>
      </c>
      <c r="D7" s="10" t="inlineStr">
        <is>
          <t>vs</t>
        </is>
      </c>
      <c r="E7" s="11" t="inlineStr">
        <is>
          <t>3º de C/D/F/G/H</t>
        </is>
      </c>
      <c r="F7" s="11" t="inlineStr">
        <is>
          <t>mar 30 jun · 4:00 PM</t>
        </is>
      </c>
      <c r="G7" s="11" t="inlineStr">
        <is>
          <t>New York/New Jersey Stadium</t>
        </is>
      </c>
    </row>
    <row r="8">
      <c r="A8" s="10" t="n">
        <v>79</v>
      </c>
      <c r="B8" s="10" t="inlineStr">
        <is>
          <t>16avos</t>
        </is>
      </c>
      <c r="C8" s="11" t="inlineStr">
        <is>
          <t>1º Gpo A</t>
        </is>
      </c>
      <c r="D8" s="10" t="inlineStr">
        <is>
          <t>vs</t>
        </is>
      </c>
      <c r="E8" s="11" t="inlineStr">
        <is>
          <t>3º de C/E/F/H/I</t>
        </is>
      </c>
      <c r="F8" s="11" t="inlineStr">
        <is>
          <t>mar 30 jun · 8:00 PM</t>
        </is>
      </c>
      <c r="G8" s="11" t="inlineStr">
        <is>
          <t>Mexico City Stadium</t>
        </is>
      </c>
    </row>
    <row r="9">
      <c r="A9" s="10" t="n">
        <v>80</v>
      </c>
      <c r="B9" s="10" t="inlineStr">
        <is>
          <t>16avos</t>
        </is>
      </c>
      <c r="C9" s="11" t="inlineStr">
        <is>
          <t>1º Gpo L</t>
        </is>
      </c>
      <c r="D9" s="10" t="inlineStr">
        <is>
          <t>vs</t>
        </is>
      </c>
      <c r="E9" s="11" t="inlineStr">
        <is>
          <t>3º de E/H/I/J/K</t>
        </is>
      </c>
      <c r="F9" s="11" t="inlineStr">
        <is>
          <t>mié 1 jul · 11:00 AM</t>
        </is>
      </c>
      <c r="G9" s="11" t="inlineStr">
        <is>
          <t>Atlanta Stadium</t>
        </is>
      </c>
    </row>
    <row r="10">
      <c r="A10" s="10" t="n">
        <v>82</v>
      </c>
      <c r="B10" s="10" t="inlineStr">
        <is>
          <t>16avos</t>
        </is>
      </c>
      <c r="C10" s="11" t="inlineStr">
        <is>
          <t>1º Gpo G</t>
        </is>
      </c>
      <c r="D10" s="10" t="inlineStr">
        <is>
          <t>vs</t>
        </is>
      </c>
      <c r="E10" s="11" t="inlineStr">
        <is>
          <t>3º de A/E/H/I/J</t>
        </is>
      </c>
      <c r="F10" s="11" t="inlineStr">
        <is>
          <t>mié 1 jul · 3:00 PM</t>
        </is>
      </c>
      <c r="G10" s="11" t="inlineStr">
        <is>
          <t>Seattle Stadium</t>
        </is>
      </c>
    </row>
    <row r="11">
      <c r="A11" s="10" t="n">
        <v>81</v>
      </c>
      <c r="B11" s="10" t="inlineStr">
        <is>
          <t>16avos</t>
        </is>
      </c>
      <c r="C11" s="11" t="inlineStr">
        <is>
          <t>1º Gpo D</t>
        </is>
      </c>
      <c r="D11" s="10" t="inlineStr">
        <is>
          <t>vs</t>
        </is>
      </c>
      <c r="E11" s="11" t="inlineStr">
        <is>
          <t>3º de B/E/F/I/J</t>
        </is>
      </c>
      <c r="F11" s="11" t="inlineStr">
        <is>
          <t>mié 1 jul · 7:00 PM</t>
        </is>
      </c>
      <c r="G11" s="11" t="inlineStr">
        <is>
          <t>San Francisco Bay Area Stadium</t>
        </is>
      </c>
    </row>
    <row r="12">
      <c r="A12" s="10" t="n">
        <v>84</v>
      </c>
      <c r="B12" s="10" t="inlineStr">
        <is>
          <t>16avos</t>
        </is>
      </c>
      <c r="C12" s="11" t="inlineStr">
        <is>
          <t>1º Gpo H</t>
        </is>
      </c>
      <c r="D12" s="10" t="inlineStr">
        <is>
          <t>vs</t>
        </is>
      </c>
      <c r="E12" s="11" t="inlineStr">
        <is>
          <t>2º Gpo J</t>
        </is>
      </c>
      <c r="F12" s="11" t="inlineStr">
        <is>
          <t>jue 2 jul · 2:00 PM</t>
        </is>
      </c>
      <c r="G12" s="11" t="inlineStr">
        <is>
          <t>Los Angeles Stadium</t>
        </is>
      </c>
    </row>
    <row r="13">
      <c r="A13" s="10" t="n">
        <v>83</v>
      </c>
      <c r="B13" s="10" t="inlineStr">
        <is>
          <t>16avos</t>
        </is>
      </c>
      <c r="C13" s="11" t="inlineStr">
        <is>
          <t>2º Gpo K</t>
        </is>
      </c>
      <c r="D13" s="10" t="inlineStr">
        <is>
          <t>vs</t>
        </is>
      </c>
      <c r="E13" s="11" t="inlineStr">
        <is>
          <t>2º Gpo L</t>
        </is>
      </c>
      <c r="F13" s="11" t="inlineStr">
        <is>
          <t>jue 2 jul · 6:00 PM</t>
        </is>
      </c>
      <c r="G13" s="11" t="inlineStr">
        <is>
          <t>Toronto Stadium</t>
        </is>
      </c>
    </row>
    <row r="14">
      <c r="A14" s="10" t="n">
        <v>85</v>
      </c>
      <c r="B14" s="10" t="inlineStr">
        <is>
          <t>16avos</t>
        </is>
      </c>
      <c r="C14" s="11" t="inlineStr">
        <is>
          <t>1º Gpo B</t>
        </is>
      </c>
      <c r="D14" s="10" t="inlineStr">
        <is>
          <t>vs</t>
        </is>
      </c>
      <c r="E14" s="11" t="inlineStr">
        <is>
          <t>3º de E/F/G/I/J</t>
        </is>
      </c>
      <c r="F14" s="11" t="inlineStr">
        <is>
          <t>jue 2 jul · 10:00 PM</t>
        </is>
      </c>
      <c r="G14" s="11" t="inlineStr">
        <is>
          <t>BC Place Vancouver</t>
        </is>
      </c>
    </row>
    <row r="15">
      <c r="A15" s="10" t="n">
        <v>88</v>
      </c>
      <c r="B15" s="10" t="inlineStr">
        <is>
          <t>16avos</t>
        </is>
      </c>
      <c r="C15" s="11" t="inlineStr">
        <is>
          <t>2º Gpo D</t>
        </is>
      </c>
      <c r="D15" s="10" t="inlineStr">
        <is>
          <t>vs</t>
        </is>
      </c>
      <c r="E15" s="11" t="inlineStr">
        <is>
          <t>2º Gpo G</t>
        </is>
      </c>
      <c r="F15" s="11" t="inlineStr">
        <is>
          <t>vie 3 jul · 1:00 PM</t>
        </is>
      </c>
      <c r="G15" s="11" t="inlineStr">
        <is>
          <t>Dallas Stadium</t>
        </is>
      </c>
    </row>
    <row r="16">
      <c r="A16" s="10" t="n">
        <v>86</v>
      </c>
      <c r="B16" s="10" t="inlineStr">
        <is>
          <t>16avos</t>
        </is>
      </c>
      <c r="C16" s="11" t="inlineStr">
        <is>
          <t>1º Gpo J</t>
        </is>
      </c>
      <c r="D16" s="10" t="inlineStr">
        <is>
          <t>vs</t>
        </is>
      </c>
      <c r="E16" s="11" t="inlineStr">
        <is>
          <t>2º Gpo H</t>
        </is>
      </c>
      <c r="F16" s="11" t="inlineStr">
        <is>
          <t>vie 3 jul · 5:00 PM</t>
        </is>
      </c>
      <c r="G16" s="11" t="inlineStr">
        <is>
          <t>Miami Stadium</t>
        </is>
      </c>
    </row>
    <row r="17">
      <c r="A17" s="10" t="n">
        <v>87</v>
      </c>
      <c r="B17" s="10" t="inlineStr">
        <is>
          <t>16avos</t>
        </is>
      </c>
      <c r="C17" s="11" t="inlineStr">
        <is>
          <t>1º Gpo K</t>
        </is>
      </c>
      <c r="D17" s="10" t="inlineStr">
        <is>
          <t>vs</t>
        </is>
      </c>
      <c r="E17" s="11" t="inlineStr">
        <is>
          <t>3º de D/E/I/J/L</t>
        </is>
      </c>
      <c r="F17" s="11" t="inlineStr">
        <is>
          <t>vie 3 jul · 8:30 PM</t>
        </is>
      </c>
      <c r="G17" s="11" t="inlineStr">
        <is>
          <t>Kansas City Stadium</t>
        </is>
      </c>
    </row>
    <row r="18">
      <c r="A18" s="10" t="n">
        <v>90</v>
      </c>
      <c r="B18" s="10" t="inlineStr">
        <is>
          <t>Octavos</t>
        </is>
      </c>
      <c r="C18" s="11" t="inlineStr">
        <is>
          <t>To be announced</t>
        </is>
      </c>
      <c r="D18" s="10" t="inlineStr">
        <is>
          <t>vs</t>
        </is>
      </c>
      <c r="E18" s="11" t="inlineStr">
        <is>
          <t>To be announced</t>
        </is>
      </c>
      <c r="F18" s="11" t="inlineStr">
        <is>
          <t>sáb 4 jul · 12:00 PM</t>
        </is>
      </c>
      <c r="G18" s="11" t="inlineStr">
        <is>
          <t>Houston Stadium</t>
        </is>
      </c>
    </row>
    <row r="19">
      <c r="A19" s="10" t="n">
        <v>89</v>
      </c>
      <c r="B19" s="10" t="inlineStr">
        <is>
          <t>Octavos</t>
        </is>
      </c>
      <c r="C19" s="11" t="inlineStr">
        <is>
          <t>To be announced</t>
        </is>
      </c>
      <c r="D19" s="10" t="inlineStr">
        <is>
          <t>vs</t>
        </is>
      </c>
      <c r="E19" s="11" t="inlineStr">
        <is>
          <t>To be announced</t>
        </is>
      </c>
      <c r="F19" s="11" t="inlineStr">
        <is>
          <t>sáb 4 jul · 4:00 PM</t>
        </is>
      </c>
      <c r="G19" s="11" t="inlineStr">
        <is>
          <t>Philadelphia Stadium</t>
        </is>
      </c>
    </row>
    <row r="20">
      <c r="A20" s="10" t="n">
        <v>91</v>
      </c>
      <c r="B20" s="10" t="inlineStr">
        <is>
          <t>Octavos</t>
        </is>
      </c>
      <c r="C20" s="11" t="inlineStr">
        <is>
          <t>To be announced</t>
        </is>
      </c>
      <c r="D20" s="10" t="inlineStr">
        <is>
          <t>vs</t>
        </is>
      </c>
      <c r="E20" s="11" t="inlineStr">
        <is>
          <t>To be announced</t>
        </is>
      </c>
      <c r="F20" s="11" t="inlineStr">
        <is>
          <t>dom 5 jul · 3:00 PM</t>
        </is>
      </c>
      <c r="G20" s="11" t="inlineStr">
        <is>
          <t>New York/New Jersey Stadium</t>
        </is>
      </c>
    </row>
    <row r="21">
      <c r="A21" s="10" t="n">
        <v>92</v>
      </c>
      <c r="B21" s="10" t="inlineStr">
        <is>
          <t>Octavos</t>
        </is>
      </c>
      <c r="C21" s="11" t="inlineStr">
        <is>
          <t>To be announced</t>
        </is>
      </c>
      <c r="D21" s="10" t="inlineStr">
        <is>
          <t>vs</t>
        </is>
      </c>
      <c r="E21" s="11" t="inlineStr">
        <is>
          <t>To be announced</t>
        </is>
      </c>
      <c r="F21" s="11" t="inlineStr">
        <is>
          <t>dom 5 jul · 7:00 PM</t>
        </is>
      </c>
      <c r="G21" s="11" t="inlineStr">
        <is>
          <t>Mexico City Stadium</t>
        </is>
      </c>
    </row>
    <row r="22">
      <c r="A22" s="10" t="n">
        <v>93</v>
      </c>
      <c r="B22" s="10" t="inlineStr">
        <is>
          <t>Octavos</t>
        </is>
      </c>
      <c r="C22" s="11" t="inlineStr">
        <is>
          <t>To be announced</t>
        </is>
      </c>
      <c r="D22" s="10" t="inlineStr">
        <is>
          <t>vs</t>
        </is>
      </c>
      <c r="E22" s="11" t="inlineStr">
        <is>
          <t>To be announced</t>
        </is>
      </c>
      <c r="F22" s="11" t="inlineStr">
        <is>
          <t>lun 6 jul · 2:00 PM</t>
        </is>
      </c>
      <c r="G22" s="11" t="inlineStr">
        <is>
          <t>Dallas Stadium</t>
        </is>
      </c>
    </row>
    <row r="23">
      <c r="A23" s="10" t="n">
        <v>94</v>
      </c>
      <c r="B23" s="10" t="inlineStr">
        <is>
          <t>Octavos</t>
        </is>
      </c>
      <c r="C23" s="11" t="inlineStr">
        <is>
          <t>To be announced</t>
        </is>
      </c>
      <c r="D23" s="10" t="inlineStr">
        <is>
          <t>vs</t>
        </is>
      </c>
      <c r="E23" s="11" t="inlineStr">
        <is>
          <t>To be announced</t>
        </is>
      </c>
      <c r="F23" s="11" t="inlineStr">
        <is>
          <t>lun 6 jul · 7:00 PM</t>
        </is>
      </c>
      <c r="G23" s="11" t="inlineStr">
        <is>
          <t>Seattle Stadium</t>
        </is>
      </c>
    </row>
    <row r="24">
      <c r="A24" s="10" t="n">
        <v>95</v>
      </c>
      <c r="B24" s="10" t="inlineStr">
        <is>
          <t>Octavos</t>
        </is>
      </c>
      <c r="C24" s="11" t="inlineStr">
        <is>
          <t>To be announced</t>
        </is>
      </c>
      <c r="D24" s="10" t="inlineStr">
        <is>
          <t>vs</t>
        </is>
      </c>
      <c r="E24" s="11" t="inlineStr">
        <is>
          <t>To be announced</t>
        </is>
      </c>
      <c r="F24" s="11" t="inlineStr">
        <is>
          <t>mar 7 jul · 11:00 AM</t>
        </is>
      </c>
      <c r="G24" s="11" t="inlineStr">
        <is>
          <t>Atlanta Stadium</t>
        </is>
      </c>
    </row>
    <row r="25">
      <c r="A25" s="10" t="n">
        <v>96</v>
      </c>
      <c r="B25" s="10" t="inlineStr">
        <is>
          <t>Octavos</t>
        </is>
      </c>
      <c r="C25" s="11" t="inlineStr">
        <is>
          <t>To be announced</t>
        </is>
      </c>
      <c r="D25" s="10" t="inlineStr">
        <is>
          <t>vs</t>
        </is>
      </c>
      <c r="E25" s="11" t="inlineStr">
        <is>
          <t>To be announced</t>
        </is>
      </c>
      <c r="F25" s="11" t="inlineStr">
        <is>
          <t>mar 7 jul · 3:00 PM</t>
        </is>
      </c>
      <c r="G25" s="11" t="inlineStr">
        <is>
          <t>BC Place Vancouver</t>
        </is>
      </c>
    </row>
    <row r="26">
      <c r="A26" s="10" t="n">
        <v>97</v>
      </c>
      <c r="B26" s="10" t="inlineStr">
        <is>
          <t>Cuartos</t>
        </is>
      </c>
      <c r="C26" s="11" t="inlineStr">
        <is>
          <t>To be announced</t>
        </is>
      </c>
      <c r="D26" s="10" t="inlineStr">
        <is>
          <t>vs</t>
        </is>
      </c>
      <c r="E26" s="11" t="inlineStr">
        <is>
          <t>To be announced</t>
        </is>
      </c>
      <c r="F26" s="11" t="inlineStr">
        <is>
          <t>jue 9 jul · 3:00 PM</t>
        </is>
      </c>
      <c r="G26" s="11" t="inlineStr">
        <is>
          <t>Boston Stadium</t>
        </is>
      </c>
    </row>
    <row r="27">
      <c r="A27" s="10" t="n">
        <v>98</v>
      </c>
      <c r="B27" s="10" t="inlineStr">
        <is>
          <t>Cuartos</t>
        </is>
      </c>
      <c r="C27" s="11" t="inlineStr">
        <is>
          <t>To be announced</t>
        </is>
      </c>
      <c r="D27" s="10" t="inlineStr">
        <is>
          <t>vs</t>
        </is>
      </c>
      <c r="E27" s="11" t="inlineStr">
        <is>
          <t>To be announced</t>
        </is>
      </c>
      <c r="F27" s="11" t="inlineStr">
        <is>
          <t>vie 10 jul · 2:00 PM</t>
        </is>
      </c>
      <c r="G27" s="11" t="inlineStr">
        <is>
          <t>Los Angeles Stadium</t>
        </is>
      </c>
    </row>
    <row r="28">
      <c r="A28" s="10" t="n">
        <v>99</v>
      </c>
      <c r="B28" s="10" t="inlineStr">
        <is>
          <t>Cuartos</t>
        </is>
      </c>
      <c r="C28" s="11" t="inlineStr">
        <is>
          <t>To be announced</t>
        </is>
      </c>
      <c r="D28" s="10" t="inlineStr">
        <is>
          <t>vs</t>
        </is>
      </c>
      <c r="E28" s="11" t="inlineStr">
        <is>
          <t>To be announced</t>
        </is>
      </c>
      <c r="F28" s="11" t="inlineStr">
        <is>
          <t>sáb 11 jul · 4:00 PM</t>
        </is>
      </c>
      <c r="G28" s="11" t="inlineStr">
        <is>
          <t>Miami Stadium</t>
        </is>
      </c>
    </row>
    <row r="29">
      <c r="A29" s="10" t="n">
        <v>100</v>
      </c>
      <c r="B29" s="10" t="inlineStr">
        <is>
          <t>Cuartos</t>
        </is>
      </c>
      <c r="C29" s="11" t="inlineStr">
        <is>
          <t>To be announced</t>
        </is>
      </c>
      <c r="D29" s="10" t="inlineStr">
        <is>
          <t>vs</t>
        </is>
      </c>
      <c r="E29" s="11" t="inlineStr">
        <is>
          <t>To be announced</t>
        </is>
      </c>
      <c r="F29" s="11" t="inlineStr">
        <is>
          <t>sáb 11 jul · 8:00 PM</t>
        </is>
      </c>
      <c r="G29" s="11" t="inlineStr">
        <is>
          <t>Kansas City Stadium</t>
        </is>
      </c>
    </row>
    <row r="30">
      <c r="A30" s="10" t="n">
        <v>101</v>
      </c>
      <c r="B30" s="10" t="inlineStr">
        <is>
          <t>Semis</t>
        </is>
      </c>
      <c r="C30" s="11" t="inlineStr">
        <is>
          <t>To be announced</t>
        </is>
      </c>
      <c r="D30" s="10" t="inlineStr">
        <is>
          <t>vs</t>
        </is>
      </c>
      <c r="E30" s="11" t="inlineStr">
        <is>
          <t>To be announced</t>
        </is>
      </c>
      <c r="F30" s="11" t="inlineStr">
        <is>
          <t>mar 14 jul · 2:00 PM</t>
        </is>
      </c>
      <c r="G30" s="11" t="inlineStr">
        <is>
          <t>Dallas Stadium</t>
        </is>
      </c>
    </row>
    <row r="31">
      <c r="A31" s="10" t="n">
        <v>102</v>
      </c>
      <c r="B31" s="10" t="inlineStr">
        <is>
          <t>Semis</t>
        </is>
      </c>
      <c r="C31" s="11" t="inlineStr">
        <is>
          <t>To be announced</t>
        </is>
      </c>
      <c r="D31" s="10" t="inlineStr">
        <is>
          <t>vs</t>
        </is>
      </c>
      <c r="E31" s="11" t="inlineStr">
        <is>
          <t>To be announced</t>
        </is>
      </c>
      <c r="F31" s="11" t="inlineStr">
        <is>
          <t>mié 15 jul · 2:00 PM</t>
        </is>
      </c>
      <c r="G31" s="11" t="inlineStr">
        <is>
          <t>Atlanta Stadium</t>
        </is>
      </c>
    </row>
    <row r="32">
      <c r="A32" s="10" t="n">
        <v>103</v>
      </c>
      <c r="B32" s="10" t="inlineStr">
        <is>
          <t>Final/3º</t>
        </is>
      </c>
      <c r="C32" s="11" t="inlineStr">
        <is>
          <t>To be announced</t>
        </is>
      </c>
      <c r="D32" s="10" t="inlineStr">
        <is>
          <t>vs</t>
        </is>
      </c>
      <c r="E32" s="11" t="inlineStr">
        <is>
          <t>To be announced</t>
        </is>
      </c>
      <c r="F32" s="11" t="inlineStr">
        <is>
          <t>sáb 18 jul · 4:00 PM</t>
        </is>
      </c>
      <c r="G32" s="11" t="inlineStr">
        <is>
          <t>Miami Stadium</t>
        </is>
      </c>
    </row>
    <row r="33">
      <c r="A33" s="20" t="n">
        <v>104</v>
      </c>
      <c r="B33" s="20" t="inlineStr">
        <is>
          <t>Final/3º</t>
        </is>
      </c>
      <c r="C33" s="21" t="inlineStr">
        <is>
          <t>To be announced</t>
        </is>
      </c>
      <c r="D33" s="20" t="inlineStr">
        <is>
          <t>vs</t>
        </is>
      </c>
      <c r="E33" s="21" t="inlineStr">
        <is>
          <t>To be announced</t>
        </is>
      </c>
      <c r="F33" s="21" t="inlineStr">
        <is>
          <t>dom 19 jul · 2:00 PM</t>
        </is>
      </c>
      <c r="G33" s="21" t="inlineStr">
        <is>
          <t>New York/New Jersey Stadium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2026-06-10T13:55:39Z</dcterms:created>
  <dcterms:modified xmlns:dcterms="http://purl.org/dc/terms/" xmlns:xsi="http://www.w3.org/2001/XMLSchema-instance" xsi:type="dcterms:W3CDTF">2026-06-10T13:55:39Z</dcterms:modified>
</cp:coreProperties>
</file>